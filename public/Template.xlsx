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a4edcef9-5cdd-42e2-a2c3-dd9a7a86a4ca\"/>
    </mc:Choice>
  </mc:AlternateContent>
  <xr:revisionPtr revIDLastSave="0" documentId="8_{36AE2472-7658-4158-B6E1-11B97216FCAA}" xr6:coauthVersionLast="47" xr6:coauthVersionMax="47" xr10:uidLastSave="{00000000-0000-0000-0000-000000000000}"/>
  <workbookProtection lockStructure="1"/>
  <bookViews>
    <workbookView xWindow="-120" yWindow="-120" windowWidth="19440" windowHeight="10440" tabRatio="63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Sheet4!$A$1:$C$32</definedName>
    <definedName name="_xlnm.Print_Area" localSheetId="0">Sheet1!$A$1:$AA$120</definedName>
    <definedName name="_xlnm.Print_Area" localSheetId="1">Sheet2!$A$1:$U$82</definedName>
    <definedName name="_xlnm.Print_Area" localSheetId="2">Sheet3!$A$1:$U$43</definedName>
    <definedName name="_xlnm.Print_Titles" localSheetId="1">Sheet2!$9:$12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2" i="1" l="1"/>
  <c r="N74" i="1"/>
  <c r="T74" i="1"/>
  <c r="K75" i="2"/>
  <c r="L75" i="2"/>
  <c r="M75" i="2"/>
  <c r="R11" i="3"/>
  <c r="N75" i="2"/>
  <c r="Q75" i="2"/>
  <c r="C3" i="3"/>
  <c r="E42" i="3"/>
  <c r="R7" i="3"/>
  <c r="R13" i="3"/>
  <c r="R20" i="3"/>
</calcChain>
</file>

<file path=xl/sharedStrings.xml><?xml version="1.0" encoding="utf-8"?>
<sst xmlns="http://schemas.openxmlformats.org/spreadsheetml/2006/main" count="973" uniqueCount="253">
  <si>
    <t>(HO: BANGALORE)</t>
  </si>
  <si>
    <t>==================================================================================================================</t>
  </si>
  <si>
    <t>MONTHLY DIARY-CUM-TA BILL</t>
  </si>
  <si>
    <t>(To be submitted in Duplicate)</t>
  </si>
  <si>
    <t>From:</t>
  </si>
  <si>
    <t>1st SET</t>
  </si>
  <si>
    <t>2nd SET</t>
  </si>
  <si>
    <t>Name:</t>
  </si>
  <si>
    <t>Staff no.</t>
  </si>
  <si>
    <t>Bank:</t>
  </si>
  <si>
    <t>Canara Bank,</t>
  </si>
  <si>
    <t>ZI:</t>
  </si>
  <si>
    <t>Unit:</t>
  </si>
  <si>
    <t>Camp:</t>
  </si>
  <si>
    <t>To:</t>
  </si>
  <si>
    <t>The Deputy General Manager,</t>
  </si>
  <si>
    <t>CANARA BANK,</t>
  </si>
  <si>
    <t>DEAR SIR / MADAM,</t>
  </si>
  <si>
    <t>SUB</t>
  </si>
  <si>
    <t>:: MY MONTHLY DIARY-CUM-TA BILL FOR THE MONTH OF:</t>
  </si>
  <si>
    <t xml:space="preserve">FOR Rs. </t>
  </si>
  <si>
    <t>*-*-*-*-*</t>
  </si>
  <si>
    <t>I furnish herewith the subject details as follows:</t>
  </si>
  <si>
    <t>1. PARTICULARS OF DUTY ATTENDED:</t>
  </si>
  <si>
    <t>Sl. No.</t>
  </si>
  <si>
    <t>Place / Branch</t>
  </si>
  <si>
    <t>DP Code</t>
  </si>
  <si>
    <t>Nature of Duty</t>
  </si>
  <si>
    <t>Date</t>
  </si>
  <si>
    <t>From</t>
  </si>
  <si>
    <t>To</t>
  </si>
  <si>
    <t>TOTAL</t>
  </si>
  <si>
    <t>No. of Man Days</t>
  </si>
  <si>
    <t>Remarks (Dates)</t>
  </si>
  <si>
    <t>Nature of Leave</t>
  </si>
  <si>
    <t>No. of Days</t>
  </si>
  <si>
    <t>No.of Mandays</t>
  </si>
  <si>
    <t>Nature of Holidays</t>
  </si>
  <si>
    <t>No.of Full Days</t>
  </si>
  <si>
    <t>No. of Mandays</t>
  </si>
  <si>
    <t>SUNDAYS</t>
  </si>
  <si>
    <t xml:space="preserve">SATURDAYS </t>
  </si>
  <si>
    <t>Total No. of Days</t>
  </si>
  <si>
    <t>Remarks</t>
  </si>
  <si>
    <t>TOTAL MAN DAYS WORKED</t>
  </si>
  <si>
    <t>NO.OF PUBLIC HOLIDAYS, SUNDAYS, HALF DAYS ETC.</t>
  </si>
  <si>
    <t>TOTAL (No. of Days in the month)</t>
  </si>
  <si>
    <t>No. of days for which claim is made</t>
  </si>
  <si>
    <t>Petro eligibility in Litres</t>
  </si>
  <si>
    <t>Amount claimed in Rupees.</t>
  </si>
  <si>
    <t>:</t>
  </si>
  <si>
    <t>IF YES, PLEASE QUOTE ZI PERMISSION REFERENCE NUMBER</t>
  </si>
  <si>
    <t>TA BILLS WITH ALL ITS ENCLOSERS</t>
  </si>
  <si>
    <t>PLACE::</t>
  </si>
  <si>
    <t>Yours faithfully,</t>
  </si>
  <si>
    <t>DATE  ::</t>
  </si>
  <si>
    <t>================================================================================================================</t>
  </si>
  <si>
    <t>We confirm that the above details are verified with the diary submitted and found correct.</t>
  </si>
  <si>
    <t>Place::</t>
  </si>
  <si>
    <t>_____________________________________</t>
  </si>
  <si>
    <t>Date  ::</t>
  </si>
  <si>
    <t>__________________</t>
  </si>
  <si>
    <t>OFFICER / MANAGER / SENIOR MANAGER</t>
  </si>
  <si>
    <t xml:space="preserve">                  (HO: Bangalore)</t>
  </si>
  <si>
    <t>NF-669</t>
  </si>
  <si>
    <t>INSPECTION DEPARTMENT</t>
  </si>
  <si>
    <t xml:space="preserve">DATE OF TA BILL: </t>
  </si>
  <si>
    <t>STAFF NO.:</t>
  </si>
  <si>
    <t>HEAD QUARTERS AT:</t>
  </si>
  <si>
    <t>PART-I</t>
  </si>
  <si>
    <t>BASIC PAY:</t>
  </si>
  <si>
    <t>(Kindly read the Instructions on Page no.4 before preparing this bill).</t>
  </si>
  <si>
    <t>On Duty at / Purpose of Travel</t>
  </si>
  <si>
    <t>Particulars of Traveling Allowance to Outstation Places Operated from Head Quarters or a place other than he Place of Duty</t>
  </si>
  <si>
    <t>Conveyance Charges - Furnish the details in the remarks column; read instruction No.6(e) on Page no.4.</t>
  </si>
  <si>
    <t>REMARKS                                                                  (Local Conveyance)</t>
  </si>
  <si>
    <t>Started</t>
  </si>
  <si>
    <t>Arrived</t>
  </si>
  <si>
    <t>Distance in KMs</t>
  </si>
  <si>
    <t>Mode &amp; Class of Travel</t>
  </si>
  <si>
    <t>Fare</t>
  </si>
  <si>
    <t>Lodging</t>
  </si>
  <si>
    <t>Boarding</t>
  </si>
  <si>
    <t>H.A.</t>
  </si>
  <si>
    <t>Diem Allowance</t>
  </si>
  <si>
    <t>Mode of Conveyance</t>
  </si>
  <si>
    <t>Arrival Time</t>
  </si>
  <si>
    <t>Depature Time</t>
  </si>
  <si>
    <t>Time</t>
  </si>
  <si>
    <t>At</t>
  </si>
  <si>
    <t>Rs.</t>
  </si>
  <si>
    <t>2a</t>
  </si>
  <si>
    <t>Onward</t>
  </si>
  <si>
    <t>Return</t>
  </si>
  <si>
    <t xml:space="preserve"> </t>
  </si>
  <si>
    <t>GRAND TOTAL</t>
  </si>
  <si>
    <t xml:space="preserve">TOTAL: </t>
  </si>
  <si>
    <t>l</t>
  </si>
  <si>
    <t>____________________</t>
  </si>
  <si>
    <t xml:space="preserve">  (HO: Bangalore)</t>
  </si>
  <si>
    <t>Zonal Inspectorate</t>
  </si>
  <si>
    <t>UNIT:</t>
  </si>
  <si>
    <t>PART-II</t>
  </si>
  <si>
    <t>PART-III</t>
  </si>
  <si>
    <t>PARTICULARS OF OTHER EXPENSES SUCH AS JOURNEY TICKET CANCELLATION CHARGES ETC., CLAIMED DURING THE MONTH</t>
  </si>
  <si>
    <t>PARTICULARS OF ADVANCE DRAWN DURING THE MONTH</t>
  </si>
  <si>
    <t>Partuculars of Expenses</t>
  </si>
  <si>
    <t>Amount Claimed</t>
  </si>
  <si>
    <t>Office / Branch</t>
  </si>
  <si>
    <t>BAR No.</t>
  </si>
  <si>
    <t>BAR Amt.</t>
  </si>
  <si>
    <t>PARTICULARS</t>
  </si>
  <si>
    <t>AMOUNT CLAIMED</t>
  </si>
  <si>
    <t>AMOUNT SANCTIONED</t>
  </si>
  <si>
    <t>NIL</t>
  </si>
  <si>
    <t>1) FARE (Total of Part-I, Column-9)</t>
  </si>
  <si>
    <t>2) LODGING EXPENSES (Total of   Part-I, Column-10)</t>
  </si>
  <si>
    <t>3) BOARDING CHARGES (Total of Part-I, Column-11)</t>
  </si>
  <si>
    <t>4) HALTING ALLOWANCE (Total of Part-I, Column-12)</t>
  </si>
  <si>
    <t>Total</t>
  </si>
  <si>
    <t>5) DIEM ALLOWANCE (Total of Part-I, Column-13)</t>
  </si>
  <si>
    <t>PART-V</t>
  </si>
  <si>
    <t>TA BILLS OF PREVIOUS MONTHS PENDING SETTLEMENT AND BILLS SETTLED DURING THE MONTH</t>
  </si>
  <si>
    <t>6) LOCAL CONVEYANCE (Total of Part-I, Column-16)</t>
  </si>
  <si>
    <t>Month</t>
  </si>
  <si>
    <t>Particulars of all Pending Bills received during the month, if any</t>
  </si>
  <si>
    <t>How the balance due, if any, after sanction of bill settled</t>
  </si>
  <si>
    <t>T.A. Advance Drawn</t>
  </si>
  <si>
    <t>Excess Amount remitted to HO.</t>
  </si>
  <si>
    <t>Date &amp; No. of the Sanction proceedings</t>
  </si>
  <si>
    <t>Amount sanctioned</t>
  </si>
  <si>
    <t>Balance Amount</t>
  </si>
  <si>
    <t>Due to Employee</t>
  </si>
  <si>
    <t>Mode of settlement</t>
  </si>
  <si>
    <t>7) OTHER EXPENSES (Total of Part-II)</t>
  </si>
  <si>
    <t>8) TOTAL</t>
  </si>
  <si>
    <t>9) LESS ADVANCE (PART-III)</t>
  </si>
  <si>
    <t>10) BALANCE DUE TO / TO BE PAID BY EMPLOYEE</t>
  </si>
  <si>
    <t>I hereby declare tha I actually travelled by the class</t>
  </si>
  <si>
    <t>The dates of Inspection and particulars of duties</t>
  </si>
  <si>
    <t>STAFF ADMINISTRATION SECTION:</t>
  </si>
  <si>
    <t>and transport for which the fare is claimed in this bill</t>
  </si>
  <si>
    <t xml:space="preserve">undertaken / leave availed etc., furnished in the Bill are </t>
  </si>
  <si>
    <t xml:space="preserve">and that the statements made and particulars </t>
  </si>
  <si>
    <t>correct.</t>
  </si>
  <si>
    <t>Passed for payment of Rs.____________________________.</t>
  </si>
  <si>
    <t>furnished are true and correct.</t>
  </si>
  <si>
    <t>Sanction Reference no. ______________________________.</t>
  </si>
  <si>
    <t>separately.</t>
  </si>
  <si>
    <t>Amount due to me may be credited to my SB/OD a/c no.</t>
  </si>
  <si>
    <t>Place:: _______________________</t>
  </si>
  <si>
    <t>with</t>
  </si>
  <si>
    <t>branch</t>
  </si>
  <si>
    <t>Date :: _______________________</t>
  </si>
  <si>
    <t>Branch advice no.</t>
  </si>
  <si>
    <t>dt.</t>
  </si>
  <si>
    <t xml:space="preserve">of </t>
  </si>
  <si>
    <t>NIL.</t>
  </si>
  <si>
    <t>branch is enclosed in lieu of dues of Bank.</t>
  </si>
  <si>
    <t>Processed by: _________________</t>
  </si>
  <si>
    <t xml:space="preserve">Place :: </t>
  </si>
  <si>
    <t>___________________</t>
  </si>
  <si>
    <t>Manager/Sr.Manager</t>
  </si>
  <si>
    <t>Checked by   : _________________</t>
  </si>
  <si>
    <t>MANAGER / SR.MANAGER</t>
  </si>
  <si>
    <t>RESIDENTIAL ADDRESS</t>
  </si>
  <si>
    <t>DETAILS OF ADVANCE DRAWN DURING THE MONTH</t>
  </si>
  <si>
    <t>2. TOTAL MANDAYS ATTENDED BY THE I.O. DURING THE MONTH (Give Details):</t>
  </si>
  <si>
    <t xml:space="preserve">ENCLOSURES: </t>
  </si>
  <si>
    <t>WHETHER OBTAINED PERMISSION TO OPERATE FROM  THIRD PLACE:</t>
  </si>
  <si>
    <t>WHETHER OBTAINED PERMISSION TO TRAVEL BY FLIGHT</t>
  </si>
  <si>
    <t>3. LEAVE AVAILED DURING THE MONTH:</t>
  </si>
  <si>
    <t>4. PUBLIC HOLIDAYS, WEEKLY HOLIDAYS, HALF DAYS ETC., DUIRNG THE MONTH:</t>
  </si>
  <si>
    <t>5. GRAND TOTAL:</t>
  </si>
  <si>
    <t>6. AMOUNT CLAIMED UNDER LOCAL CONVEYANCE OPTION (Cir. No. 1/2004)</t>
  </si>
  <si>
    <t xml:space="preserve">NO.OF DAYS LEAVE AVAILED </t>
  </si>
  <si>
    <t>LEAVE INCLUDES NO. OF HOLIDAYS</t>
  </si>
  <si>
    <t>NA</t>
  </si>
  <si>
    <t>NAME:</t>
  </si>
  <si>
    <t xml:space="preserve">DESIGNATION: </t>
  </si>
  <si>
    <t>Reasons for delay in submission of the bill are given</t>
  </si>
  <si>
    <t xml:space="preserve">DATE </t>
  </si>
  <si>
    <t>KURNOOL</t>
  </si>
  <si>
    <t>Place of operation (For each duty)</t>
  </si>
  <si>
    <r>
      <t>CERTIFICATE</t>
    </r>
    <r>
      <rPr>
        <b/>
        <sz val="8"/>
        <color indexed="8"/>
        <rFont val="Arial"/>
        <family val="2"/>
      </rPr>
      <t>:</t>
    </r>
  </si>
  <si>
    <r>
      <t>REMARKS OF ZI</t>
    </r>
    <r>
      <rPr>
        <b/>
        <sz val="8"/>
        <color indexed="8"/>
        <rFont val="Arial"/>
        <family val="2"/>
      </rPr>
      <t>:</t>
    </r>
  </si>
  <si>
    <r>
      <t>FOR THE USE OF SANCTIONING AUTHORITY</t>
    </r>
    <r>
      <rPr>
        <b/>
        <sz val="8"/>
        <color indexed="8"/>
        <rFont val="Arial"/>
        <family val="2"/>
      </rPr>
      <t>:</t>
    </r>
  </si>
  <si>
    <r>
      <t>SECTION'S OBSERVATIONS / REMARKS</t>
    </r>
    <r>
      <rPr>
        <sz val="8"/>
        <color indexed="8"/>
        <rFont val="Arial"/>
        <family val="2"/>
      </rPr>
      <t>:</t>
    </r>
  </si>
  <si>
    <t>Kurnool</t>
  </si>
  <si>
    <t>TA BILL ID:</t>
  </si>
  <si>
    <t>Zonal Inspectorate,HYDERABAD</t>
  </si>
  <si>
    <t>DAYS</t>
  </si>
  <si>
    <t>HYDERABAD</t>
  </si>
  <si>
    <t>Date:</t>
  </si>
  <si>
    <t>DATE</t>
  </si>
  <si>
    <t>WORK</t>
  </si>
  <si>
    <t>BRANCH</t>
  </si>
  <si>
    <t>RBIA</t>
  </si>
  <si>
    <t>HOLIDAY</t>
  </si>
  <si>
    <t>HOLIDAYS</t>
  </si>
  <si>
    <t>SENIOR MANAGER</t>
  </si>
  <si>
    <t>BUS</t>
  </si>
  <si>
    <t>MONTHLY DIARY-CUM-TA AND CONVEYANCE CHARGES BLL FOR THE MONTH OF: NOVEMBER2024</t>
  </si>
  <si>
    <t>09:30AM</t>
  </si>
  <si>
    <t>07:10PM</t>
  </si>
  <si>
    <t>NOMINATION VERIFICATION</t>
  </si>
  <si>
    <t>NANDYAL</t>
  </si>
  <si>
    <t>TAB BANKING VERIFICATION</t>
  </si>
  <si>
    <t>NANDIKOTKUR</t>
  </si>
  <si>
    <t>DHONE</t>
  </si>
  <si>
    <t>4,11,18,25</t>
  </si>
  <si>
    <t>10,24</t>
  </si>
  <si>
    <t>01</t>
  </si>
  <si>
    <t>01.06.2025</t>
  </si>
  <si>
    <t>NOMINATION</t>
  </si>
  <si>
    <t>NANDIKO6801</t>
  </si>
  <si>
    <t>NANDIKOT6801</t>
  </si>
  <si>
    <t>06:30AM</t>
  </si>
  <si>
    <t>06:50pm</t>
  </si>
  <si>
    <t>08:00pm</t>
  </si>
  <si>
    <t>08:45AM</t>
  </si>
  <si>
    <t>09:55AM</t>
  </si>
  <si>
    <t>BATTU CHAITANYA PRAKASH</t>
  </si>
  <si>
    <t>FLAT NO 406, MATSYA MALLOW HEIGHTS</t>
  </si>
  <si>
    <t>STANTANPURAM</t>
  </si>
  <si>
    <t>JOINING DAY</t>
  </si>
  <si>
    <t>GOVINDAPALLI</t>
  </si>
  <si>
    <t>BANAGANAPALLI</t>
  </si>
  <si>
    <t>ADONI</t>
  </si>
  <si>
    <t>SNAP AUDIT</t>
  </si>
  <si>
    <t>12,13,14</t>
  </si>
  <si>
    <t>16,17</t>
  </si>
  <si>
    <t>19,20,21,22</t>
  </si>
  <si>
    <t>26,27,28</t>
  </si>
  <si>
    <t>29,30,31</t>
  </si>
  <si>
    <t>JOINED INSPECTION ON 08/05/2025</t>
  </si>
  <si>
    <t>TRANSFEREED FROM BUCHIREDDYPALEM, NELLORE RO</t>
  </si>
  <si>
    <t>TAB BANKING</t>
  </si>
  <si>
    <t>GOVINDAPLLI 13391</t>
  </si>
  <si>
    <t>TICKET LOST FROM KURNOOL TO NANDAYALA FARE AMOUNT 150</t>
  </si>
  <si>
    <t>9:35AM</t>
  </si>
  <si>
    <t>05:57PM</t>
  </si>
  <si>
    <t>09:35AM</t>
  </si>
  <si>
    <t>BANGANAPALLI 13375</t>
  </si>
  <si>
    <t>ADONI 601</t>
  </si>
  <si>
    <t>08:55AM</t>
  </si>
  <si>
    <t>06:13PM</t>
  </si>
  <si>
    <t>DHONE 13731</t>
  </si>
  <si>
    <t>B CHAITANYA PRAKASH 804024</t>
  </si>
  <si>
    <t>BUCHIREDDYPALEM 13472</t>
  </si>
  <si>
    <t>TA03058070</t>
  </si>
  <si>
    <t>09.06.2025</t>
  </si>
  <si>
    <t>B CHAITANYA 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</si>
</sst>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8" formatCode="mm/yy"/>
    <numFmt numFmtId="179" formatCode="dd\.mm\.yyyy;@"/>
    <numFmt numFmtId="180" formatCode="d\-mmm;@"/>
    <numFmt numFmtId="181" formatCode="mmm\-yy;@"/>
    <numFmt numFmtId="182" formatCode="#,###.00"/>
    <numFmt numFmtId="183" formatCode="d\-mmm\-yy;@"/>
    <numFmt numFmtId="184" formatCode="[$-F400]h:mm:ss\ AM/PM"/>
    <numFmt numFmtId="197" formatCode="[$-409]d\-mmm\-yyyy;@"/>
    <numFmt numFmtId="198" formatCode="[$-409]mmm\-yy;@"/>
  </numFmts>
  <fonts count="31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8"/>
      <name val="Verdana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b/>
      <sz val="8"/>
      <color indexed="8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u/>
      <sz val="8"/>
      <color indexed="8"/>
      <name val="Arial"/>
      <family val="2"/>
    </font>
    <font>
      <b/>
      <sz val="10"/>
      <name val="Arial"/>
      <family val="2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242424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ck">
        <color indexed="8"/>
      </bottom>
      <diagonal/>
    </border>
    <border>
      <left/>
      <right style="medium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ck">
        <color indexed="8"/>
      </bottom>
      <diagonal/>
    </border>
    <border>
      <left style="medium">
        <color indexed="64"/>
      </left>
      <right/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ck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thick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ck">
        <color indexed="8"/>
      </right>
      <top/>
      <bottom/>
      <diagonal/>
    </border>
    <border>
      <left style="thick">
        <color indexed="8"/>
      </left>
      <right style="medium">
        <color indexed="64"/>
      </right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9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10">
    <xf numFmtId="0" fontId="0" fillId="0" borderId="0" xfId="0" applyAlignment="1"/>
    <xf numFmtId="0" fontId="20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0" xfId="0" applyFont="1" applyBorder="1" applyAlignme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left" vertical="center"/>
    </xf>
    <xf numFmtId="4" fontId="21" fillId="0" borderId="18" xfId="0" applyNumberFormat="1" applyFont="1" applyBorder="1" applyAlignment="1">
      <alignment horizontal="right" vertical="center"/>
    </xf>
    <xf numFmtId="14" fontId="21" fillId="0" borderId="19" xfId="0" applyNumberFormat="1" applyFont="1" applyBorder="1" applyAlignment="1">
      <alignment horizontal="left"/>
    </xf>
    <xf numFmtId="49" fontId="21" fillId="0" borderId="20" xfId="0" applyNumberFormat="1" applyFont="1" applyBorder="1" applyAlignment="1">
      <alignment horizontal="right" vertical="center"/>
    </xf>
    <xf numFmtId="4" fontId="21" fillId="0" borderId="21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4" fontId="21" fillId="0" borderId="24" xfId="0" applyNumberFormat="1" applyFont="1" applyBorder="1" applyAlignment="1">
      <alignment horizontal="right" vertical="center"/>
    </xf>
    <xf numFmtId="14" fontId="21" fillId="0" borderId="17" xfId="0" applyNumberFormat="1" applyFont="1" applyBorder="1" applyAlignment="1">
      <alignment horizontal="left" vertical="center"/>
    </xf>
    <xf numFmtId="49" fontId="21" fillId="0" borderId="25" xfId="0" applyNumberFormat="1" applyFont="1" applyBorder="1" applyAlignment="1">
      <alignment horizontal="right" vertical="center"/>
    </xf>
    <xf numFmtId="14" fontId="21" fillId="0" borderId="22" xfId="0" applyNumberFormat="1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4" fontId="21" fillId="0" borderId="28" xfId="0" applyNumberFormat="1" applyFont="1" applyBorder="1" applyAlignment="1">
      <alignment horizontal="right" vertical="center"/>
    </xf>
    <xf numFmtId="0" fontId="21" fillId="0" borderId="29" xfId="0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right" vertical="center"/>
    </xf>
    <xf numFmtId="4" fontId="21" fillId="0" borderId="31" xfId="0" applyNumberFormat="1" applyFont="1" applyBorder="1" applyAlignment="1">
      <alignment horizontal="right" vertical="center"/>
    </xf>
    <xf numFmtId="0" fontId="20" fillId="22" borderId="11" xfId="0" applyFont="1" applyFill="1" applyBorder="1" applyAlignment="1">
      <alignment vertical="center"/>
    </xf>
    <xf numFmtId="4" fontId="20" fillId="22" borderId="12" xfId="0" applyNumberFormat="1" applyFont="1" applyFill="1" applyBorder="1" applyAlignment="1">
      <alignment horizontal="right" vertical="center"/>
    </xf>
    <xf numFmtId="0" fontId="21" fillId="0" borderId="0" xfId="0" applyFont="1" applyFill="1" applyAlignment="1">
      <alignment vertical="center"/>
    </xf>
    <xf numFmtId="0" fontId="20" fillId="22" borderId="11" xfId="0" applyFont="1" applyFill="1" applyBorder="1" applyAlignment="1">
      <alignment horizontal="left" vertical="center"/>
    </xf>
    <xf numFmtId="49" fontId="20" fillId="22" borderId="16" xfId="0" applyNumberFormat="1" applyFont="1" applyFill="1" applyBorder="1" applyAlignment="1">
      <alignment horizontal="right" vertical="center"/>
    </xf>
    <xf numFmtId="4" fontId="21" fillId="0" borderId="0" xfId="0" applyNumberFormat="1" applyFont="1" applyAlignment="1">
      <alignment vertical="center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Border="1" applyAlignment="1">
      <alignment vertical="center" wrapText="1"/>
    </xf>
    <xf numFmtId="0" fontId="20" fillId="0" borderId="31" xfId="0" applyFont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4" fontId="20" fillId="22" borderId="30" xfId="0" applyNumberFormat="1" applyFont="1" applyFill="1" applyBorder="1" applyAlignment="1">
      <alignment horizontal="right" vertical="center" wrapText="1"/>
    </xf>
    <xf numFmtId="178" fontId="20" fillId="0" borderId="33" xfId="0" applyNumberFormat="1" applyFont="1" applyBorder="1" applyAlignment="1">
      <alignment horizontal="left" vertical="center"/>
    </xf>
    <xf numFmtId="4" fontId="21" fillId="0" borderId="34" xfId="0" applyNumberFormat="1" applyFont="1" applyBorder="1" applyAlignment="1">
      <alignment horizontal="right" vertical="center"/>
    </xf>
    <xf numFmtId="0" fontId="21" fillId="0" borderId="34" xfId="0" applyFont="1" applyBorder="1" applyAlignment="1">
      <alignment horizontal="left" vertical="center"/>
    </xf>
    <xf numFmtId="14" fontId="21" fillId="0" borderId="34" xfId="0" applyNumberFormat="1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4" fontId="20" fillId="22" borderId="35" xfId="0" applyNumberFormat="1" applyFont="1" applyFill="1" applyBorder="1" applyAlignment="1">
      <alignment vertical="center"/>
    </xf>
    <xf numFmtId="178" fontId="21" fillId="0" borderId="22" xfId="0" applyNumberFormat="1" applyFont="1" applyBorder="1" applyAlignment="1">
      <alignment horizontal="left" vertical="center"/>
    </xf>
    <xf numFmtId="4" fontId="21" fillId="0" borderId="23" xfId="0" applyNumberFormat="1" applyFont="1" applyBorder="1" applyAlignment="1">
      <alignment horizontal="right" vertical="center"/>
    </xf>
    <xf numFmtId="0" fontId="21" fillId="0" borderId="24" xfId="0" applyFont="1" applyBorder="1" applyAlignment="1">
      <alignment horizontal="left" vertical="center"/>
    </xf>
    <xf numFmtId="4" fontId="20" fillId="22" borderId="36" xfId="0" applyNumberFormat="1" applyFont="1" applyFill="1" applyBorder="1" applyAlignment="1">
      <alignment vertical="center"/>
    </xf>
    <xf numFmtId="17" fontId="21" fillId="0" borderId="22" xfId="0" applyNumberFormat="1" applyFont="1" applyBorder="1" applyAlignment="1">
      <alignment horizontal="left" vertical="center"/>
    </xf>
    <xf numFmtId="4" fontId="21" fillId="0" borderId="27" xfId="0" applyNumberFormat="1" applyFont="1" applyBorder="1" applyAlignment="1">
      <alignment horizontal="right" vertical="center"/>
    </xf>
    <xf numFmtId="0" fontId="21" fillId="0" borderId="28" xfId="0" applyFont="1" applyBorder="1" applyAlignment="1">
      <alignment horizontal="left" vertical="center"/>
    </xf>
    <xf numFmtId="4" fontId="20" fillId="22" borderId="37" xfId="0" applyNumberFormat="1" applyFont="1" applyFill="1" applyBorder="1" applyAlignment="1">
      <alignment vertical="center"/>
    </xf>
    <xf numFmtId="4" fontId="20" fillId="22" borderId="37" xfId="0" applyNumberFormat="1" applyFont="1" applyFill="1" applyBorder="1" applyAlignment="1">
      <alignment horizontal="left" vertical="center"/>
    </xf>
    <xf numFmtId="4" fontId="20" fillId="22" borderId="12" xfId="0" applyNumberFormat="1" applyFont="1" applyFill="1" applyBorder="1" applyAlignment="1">
      <alignment horizontal="left" vertical="center"/>
    </xf>
    <xf numFmtId="0" fontId="21" fillId="0" borderId="38" xfId="0" applyFont="1" applyBorder="1" applyAlignment="1">
      <alignment vertical="center"/>
    </xf>
    <xf numFmtId="0" fontId="21" fillId="0" borderId="39" xfId="0" applyFont="1" applyBorder="1" applyAlignment="1">
      <alignment horizontal="right" vertical="center"/>
    </xf>
    <xf numFmtId="0" fontId="21" fillId="0" borderId="40" xfId="0" applyFont="1" applyBorder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/>
    </xf>
    <xf numFmtId="0" fontId="21" fillId="0" borderId="42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0" xfId="0" applyFont="1" applyAlignment="1"/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3" fillId="0" borderId="0" xfId="0" applyFont="1" applyBorder="1" applyAlignment="1">
      <alignment horizontal="left" vertical="center"/>
    </xf>
    <xf numFmtId="4" fontId="23" fillId="0" borderId="0" xfId="0" applyNumberFormat="1" applyFont="1" applyBorder="1" applyAlignment="1">
      <alignment horizontal="left" vertical="center"/>
    </xf>
    <xf numFmtId="0" fontId="23" fillId="0" borderId="0" xfId="0" applyFont="1" applyBorder="1" applyAlignment="1">
      <alignment vertical="center"/>
    </xf>
    <xf numFmtId="0" fontId="21" fillId="0" borderId="0" xfId="0" applyFont="1" applyBorder="1" applyAlignment="1">
      <alignment horizontal="right" vertical="center"/>
    </xf>
    <xf numFmtId="0" fontId="23" fillId="0" borderId="0" xfId="0" applyFont="1" applyBorder="1" applyAlignment="1">
      <alignment horizontal="right" vertical="center"/>
    </xf>
    <xf numFmtId="0" fontId="23" fillId="0" borderId="11" xfId="0" applyFont="1" applyBorder="1" applyAlignment="1">
      <alignment vertical="center"/>
    </xf>
    <xf numFmtId="1" fontId="18" fillId="0" borderId="0" xfId="0" applyNumberFormat="1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23" fillId="0" borderId="1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right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right" vertical="center" wrapText="1"/>
    </xf>
    <xf numFmtId="0" fontId="21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8" fillId="0" borderId="19" xfId="0" applyFont="1" applyBorder="1" applyAlignment="1">
      <alignment vertical="center"/>
    </xf>
    <xf numFmtId="0" fontId="28" fillId="0" borderId="19" xfId="0" applyFont="1" applyBorder="1" applyAlignment="1" applyProtection="1">
      <alignment vertical="center"/>
    </xf>
    <xf numFmtId="184" fontId="29" fillId="0" borderId="19" xfId="0" applyNumberFormat="1" applyFont="1" applyBorder="1" applyAlignment="1" applyProtection="1">
      <alignment vertical="center"/>
    </xf>
    <xf numFmtId="4" fontId="29" fillId="0" borderId="19" xfId="0" applyNumberFormat="1" applyFont="1" applyBorder="1" applyAlignment="1" applyProtection="1">
      <alignment vertical="center"/>
    </xf>
    <xf numFmtId="0" fontId="28" fillId="0" borderId="19" xfId="0" applyFont="1" applyBorder="1" applyAlignment="1" applyProtection="1">
      <alignment horizontal="right" vertical="center"/>
    </xf>
    <xf numFmtId="0" fontId="28" fillId="0" borderId="45" xfId="0" applyFont="1" applyBorder="1" applyAlignment="1" applyProtection="1">
      <alignment vertical="center"/>
    </xf>
    <xf numFmtId="0" fontId="28" fillId="0" borderId="45" xfId="0" applyFont="1" applyBorder="1" applyAlignment="1" applyProtection="1">
      <alignment horizontal="right" vertical="center"/>
    </xf>
    <xf numFmtId="0" fontId="29" fillId="0" borderId="19" xfId="0" applyFont="1" applyBorder="1" applyAlignment="1" applyProtection="1">
      <alignment vertical="center"/>
    </xf>
    <xf numFmtId="2" fontId="29" fillId="0" borderId="19" xfId="0" applyNumberFormat="1" applyFont="1" applyBorder="1" applyAlignment="1" applyProtection="1">
      <alignment vertical="center"/>
    </xf>
    <xf numFmtId="2" fontId="29" fillId="0" borderId="19" xfId="0" applyNumberFormat="1" applyFont="1" applyBorder="1" applyAlignment="1" applyProtection="1">
      <alignment horizontal="right"/>
    </xf>
    <xf numFmtId="184" fontId="29" fillId="0" borderId="19" xfId="0" applyNumberFormat="1" applyFont="1" applyBorder="1" applyAlignment="1" applyProtection="1">
      <alignment horizontal="right"/>
    </xf>
    <xf numFmtId="4" fontId="23" fillId="25" borderId="46" xfId="0" applyNumberFormat="1" applyFont="1" applyFill="1" applyBorder="1" applyAlignment="1">
      <alignment vertical="center"/>
    </xf>
    <xf numFmtId="0" fontId="23" fillId="25" borderId="46" xfId="0" applyFont="1" applyFill="1" applyBorder="1" applyAlignment="1">
      <alignment horizontal="right" vertical="center"/>
    </xf>
    <xf numFmtId="4" fontId="23" fillId="25" borderId="46" xfId="0" applyNumberFormat="1" applyFont="1" applyFill="1" applyBorder="1" applyAlignment="1">
      <alignment horizontal="right" vertical="center"/>
    </xf>
    <xf numFmtId="4" fontId="21" fillId="0" borderId="0" xfId="0" applyNumberFormat="1" applyFont="1" applyAlignment="1">
      <alignment horizontal="right" vertical="center"/>
    </xf>
    <xf numFmtId="14" fontId="23" fillId="0" borderId="0" xfId="0" applyNumberFormat="1" applyFont="1" applyBorder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0" fontId="20" fillId="0" borderId="0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178" fontId="25" fillId="0" borderId="0" xfId="0" applyNumberFormat="1" applyFont="1" applyAlignment="1">
      <alignment vertical="top"/>
    </xf>
    <xf numFmtId="180" fontId="25" fillId="0" borderId="0" xfId="0" applyNumberFormat="1" applyFont="1" applyAlignment="1">
      <alignment vertical="top"/>
    </xf>
    <xf numFmtId="0" fontId="25" fillId="0" borderId="0" xfId="0" applyFont="1" applyBorder="1" applyAlignment="1">
      <alignment vertical="top"/>
    </xf>
    <xf numFmtId="0" fontId="25" fillId="0" borderId="11" xfId="0" applyFont="1" applyBorder="1" applyAlignment="1">
      <alignment horizontal="center" vertical="top" wrapText="1"/>
    </xf>
    <xf numFmtId="0" fontId="25" fillId="0" borderId="33" xfId="0" applyFont="1" applyBorder="1" applyAlignment="1">
      <alignment vertical="top"/>
    </xf>
    <xf numFmtId="0" fontId="25" fillId="0" borderId="11" xfId="0" applyFont="1" applyBorder="1" applyAlignment="1">
      <alignment vertical="top"/>
    </xf>
    <xf numFmtId="181" fontId="25" fillId="0" borderId="0" xfId="0" applyNumberFormat="1" applyFont="1" applyAlignment="1">
      <alignment vertical="top"/>
    </xf>
    <xf numFmtId="0" fontId="25" fillId="0" borderId="17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11" xfId="0" applyFont="1" applyBorder="1" applyAlignment="1">
      <alignment vertical="top" wrapText="1"/>
    </xf>
    <xf numFmtId="0" fontId="25" fillId="0" borderId="0" xfId="0" applyFont="1" applyBorder="1" applyAlignment="1">
      <alignment vertical="top" wrapText="1"/>
    </xf>
    <xf numFmtId="0" fontId="25" fillId="0" borderId="33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0" borderId="0" xfId="0" applyFont="1" applyAlignment="1">
      <alignment horizontal="left" vertical="top"/>
    </xf>
    <xf numFmtId="0" fontId="25" fillId="0" borderId="0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0" fillId="0" borderId="0" xfId="0" applyFont="1" applyBorder="1" applyAlignment="1">
      <alignment vertical="top" wrapText="1"/>
    </xf>
    <xf numFmtId="0" fontId="25" fillId="0" borderId="19" xfId="0" applyFont="1" applyBorder="1" applyAlignment="1">
      <alignment horizontal="center" vertical="top" wrapText="1"/>
    </xf>
    <xf numFmtId="14" fontId="24" fillId="0" borderId="0" xfId="0" applyNumberFormat="1" applyFont="1" applyBorder="1" applyAlignment="1"/>
    <xf numFmtId="0" fontId="23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/>
    </xf>
    <xf numFmtId="0" fontId="23" fillId="25" borderId="50" xfId="0" applyFont="1" applyFill="1" applyBorder="1" applyAlignment="1">
      <alignment vertical="center"/>
    </xf>
    <xf numFmtId="0" fontId="23" fillId="25" borderId="51" xfId="0" applyFont="1" applyFill="1" applyBorder="1" applyAlignment="1">
      <alignment vertical="center"/>
    </xf>
    <xf numFmtId="4" fontId="23" fillId="25" borderId="52" xfId="0" applyNumberFormat="1" applyFont="1" applyFill="1" applyBorder="1" applyAlignment="1">
      <alignment horizontal="right" vertical="center"/>
    </xf>
    <xf numFmtId="0" fontId="22" fillId="0" borderId="53" xfId="0" applyFont="1" applyBorder="1" applyAlignment="1">
      <alignment vertical="center"/>
    </xf>
    <xf numFmtId="0" fontId="21" fillId="0" borderId="54" xfId="0" applyFont="1" applyBorder="1" applyAlignment="1">
      <alignment vertical="center"/>
    </xf>
    <xf numFmtId="0" fontId="21" fillId="0" borderId="55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58" xfId="0" applyFont="1" applyBorder="1" applyAlignment="1">
      <alignment horizontal="center" vertical="center"/>
    </xf>
    <xf numFmtId="0" fontId="21" fillId="0" borderId="57" xfId="0" applyFont="1" applyBorder="1" applyAlignment="1">
      <alignment horizontal="left" vertical="center"/>
    </xf>
    <xf numFmtId="0" fontId="21" fillId="0" borderId="56" xfId="0" applyFont="1" applyBorder="1" applyAlignment="1">
      <alignment horizontal="left" vertical="center"/>
    </xf>
    <xf numFmtId="0" fontId="21" fillId="0" borderId="59" xfId="0" applyFont="1" applyBorder="1" applyAlignment="1">
      <alignment horizontal="left" vertical="center"/>
    </xf>
    <xf numFmtId="0" fontId="21" fillId="0" borderId="60" xfId="0" applyFont="1" applyBorder="1" applyAlignment="1">
      <alignment horizontal="left" vertical="center"/>
    </xf>
    <xf numFmtId="4" fontId="23" fillId="25" borderId="61" xfId="0" applyNumberFormat="1" applyFont="1" applyFill="1" applyBorder="1" applyAlignment="1">
      <alignment vertical="center"/>
    </xf>
    <xf numFmtId="2" fontId="25" fillId="0" borderId="19" xfId="0" applyNumberFormat="1" applyFont="1" applyBorder="1" applyAlignment="1">
      <alignment vertical="top"/>
    </xf>
    <xf numFmtId="14" fontId="0" fillId="0" borderId="0" xfId="0" applyNumberFormat="1" applyAlignment="1"/>
    <xf numFmtId="14" fontId="20" fillId="0" borderId="0" xfId="0" applyNumberFormat="1" applyFont="1" applyAlignment="1">
      <alignment horizontal="right" vertical="top"/>
    </xf>
    <xf numFmtId="0" fontId="1" fillId="0" borderId="0" xfId="0" applyFont="1" applyAlignment="1"/>
    <xf numFmtId="2" fontId="20" fillId="0" borderId="36" xfId="0" applyNumberFormat="1" applyFont="1" applyBorder="1" applyAlignment="1">
      <alignment horizontal="right" vertical="top" wrapText="1"/>
    </xf>
    <xf numFmtId="2" fontId="20" fillId="0" borderId="62" xfId="0" applyNumberFormat="1" applyFont="1" applyBorder="1" applyAlignment="1">
      <alignment horizontal="right" vertical="top" wrapText="1"/>
    </xf>
    <xf numFmtId="0" fontId="23" fillId="0" borderId="19" xfId="0" applyFont="1" applyBorder="1" applyAlignment="1" applyProtection="1">
      <alignment horizontal="center" vertical="center" wrapText="1" shrinkToFit="1"/>
    </xf>
    <xf numFmtId="0" fontId="29" fillId="0" borderId="19" xfId="0" applyFont="1" applyBorder="1" applyAlignment="1" applyProtection="1">
      <alignment horizontal="right" vertical="center"/>
    </xf>
    <xf numFmtId="0" fontId="23" fillId="0" borderId="0" xfId="0" applyFont="1" applyAlignment="1">
      <alignment horizontal="right" vertical="center" wrapText="1"/>
    </xf>
    <xf numFmtId="14" fontId="21" fillId="0" borderId="0" xfId="0" applyNumberFormat="1" applyFont="1" applyAlignment="1">
      <alignment wrapText="1"/>
    </xf>
    <xf numFmtId="0" fontId="23" fillId="0" borderId="0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1" fillId="0" borderId="63" xfId="0" applyFont="1" applyBorder="1" applyAlignment="1">
      <alignment horizontal="center" vertical="center" wrapText="1"/>
    </xf>
    <xf numFmtId="0" fontId="28" fillId="0" borderId="63" xfId="0" applyFont="1" applyBorder="1" applyAlignment="1" applyProtection="1">
      <alignment vertical="center" wrapText="1"/>
    </xf>
    <xf numFmtId="0" fontId="29" fillId="0" borderId="63" xfId="0" applyFont="1" applyBorder="1" applyAlignment="1" applyProtection="1">
      <alignment vertical="center" wrapText="1"/>
    </xf>
    <xf numFmtId="0" fontId="28" fillId="0" borderId="19" xfId="0" applyFont="1" applyBorder="1" applyAlignment="1" applyProtection="1">
      <alignment vertical="center" wrapText="1"/>
    </xf>
    <xf numFmtId="0" fontId="30" fillId="0" borderId="0" xfId="0" applyFont="1" applyAlignment="1"/>
    <xf numFmtId="0" fontId="20" fillId="0" borderId="0" xfId="0" applyFont="1" applyBorder="1" applyAlignment="1">
      <alignment horizontal="left" vertical="top" wrapText="1"/>
    </xf>
    <xf numFmtId="2" fontId="20" fillId="0" borderId="0" xfId="0" applyNumberFormat="1" applyFont="1" applyBorder="1" applyAlignment="1">
      <alignment horizontal="right" vertical="top" wrapText="1"/>
    </xf>
    <xf numFmtId="0" fontId="25" fillId="0" borderId="19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center" vertical="top"/>
    </xf>
    <xf numFmtId="197" fontId="25" fillId="0" borderId="0" xfId="0" applyNumberFormat="1" applyFont="1" applyBorder="1" applyAlignment="1">
      <alignment horizontal="left" vertical="top"/>
    </xf>
    <xf numFmtId="2" fontId="25" fillId="0" borderId="0" xfId="0" applyNumberFormat="1" applyFont="1" applyBorder="1" applyAlignment="1">
      <alignment vertical="top"/>
    </xf>
    <xf numFmtId="1" fontId="25" fillId="0" borderId="0" xfId="0" applyNumberFormat="1" applyFont="1" applyBorder="1" applyAlignment="1">
      <alignment horizontal="left" vertical="top"/>
    </xf>
    <xf numFmtId="197" fontId="25" fillId="0" borderId="64" xfId="0" applyNumberFormat="1" applyFont="1" applyBorder="1" applyAlignment="1">
      <alignment horizontal="left" vertical="top"/>
    </xf>
    <xf numFmtId="197" fontId="25" fillId="0" borderId="65" xfId="0" applyNumberFormat="1" applyFont="1" applyBorder="1" applyAlignment="1">
      <alignment horizontal="left" vertical="top"/>
    </xf>
    <xf numFmtId="197" fontId="25" fillId="0" borderId="66" xfId="0" applyNumberFormat="1" applyFont="1" applyBorder="1" applyAlignment="1">
      <alignment horizontal="left" vertical="top"/>
    </xf>
    <xf numFmtId="1" fontId="25" fillId="0" borderId="19" xfId="0" applyNumberFormat="1" applyFont="1" applyBorder="1" applyAlignment="1">
      <alignment horizontal="left" vertical="top"/>
    </xf>
    <xf numFmtId="18" fontId="28" fillId="0" borderId="19" xfId="0" applyNumberFormat="1" applyFont="1" applyBorder="1" applyAlignment="1" applyProtection="1">
      <alignment vertical="center"/>
    </xf>
    <xf numFmtId="18" fontId="21" fillId="0" borderId="0" xfId="0" applyNumberFormat="1" applyFont="1" applyAlignment="1">
      <alignment vertical="center"/>
    </xf>
    <xf numFmtId="197" fontId="25" fillId="0" borderId="19" xfId="0" applyNumberFormat="1" applyFont="1" applyBorder="1" applyAlignment="1">
      <alignment horizontal="left" vertical="top"/>
    </xf>
    <xf numFmtId="2" fontId="25" fillId="0" borderId="19" xfId="0" applyNumberFormat="1" applyFont="1" applyBorder="1" applyAlignment="1">
      <alignment horizontal="center" vertical="top"/>
    </xf>
    <xf numFmtId="1" fontId="25" fillId="0" borderId="64" xfId="0" applyNumberFormat="1" applyFont="1" applyBorder="1" applyAlignment="1">
      <alignment horizontal="center" vertical="top"/>
    </xf>
    <xf numFmtId="1" fontId="25" fillId="0" borderId="65" xfId="0" applyNumberFormat="1" applyFont="1" applyBorder="1" applyAlignment="1">
      <alignment horizontal="center" vertical="top"/>
    </xf>
    <xf numFmtId="1" fontId="25" fillId="0" borderId="66" xfId="0" applyNumberFormat="1" applyFont="1" applyBorder="1" applyAlignment="1">
      <alignment horizontal="center" vertical="top"/>
    </xf>
    <xf numFmtId="0" fontId="25" fillId="0" borderId="64" xfId="0" applyFont="1" applyBorder="1" applyAlignment="1">
      <alignment horizontal="left" vertical="top"/>
    </xf>
    <xf numFmtId="0" fontId="25" fillId="0" borderId="65" xfId="0" applyFont="1" applyBorder="1" applyAlignment="1">
      <alignment horizontal="left" vertical="top"/>
    </xf>
    <xf numFmtId="0" fontId="25" fillId="0" borderId="66" xfId="0" applyFont="1" applyBorder="1" applyAlignment="1">
      <alignment horizontal="left" vertical="top"/>
    </xf>
    <xf numFmtId="0" fontId="25" fillId="0" borderId="64" xfId="0" applyFont="1" applyBorder="1" applyAlignment="1">
      <alignment horizontal="center" vertical="top"/>
    </xf>
    <xf numFmtId="0" fontId="25" fillId="0" borderId="66" xfId="0" applyFont="1" applyBorder="1" applyAlignment="1">
      <alignment horizontal="center" vertical="top"/>
    </xf>
    <xf numFmtId="197" fontId="25" fillId="0" borderId="64" xfId="0" applyNumberFormat="1" applyFont="1" applyBorder="1" applyAlignment="1">
      <alignment horizontal="left" vertical="top"/>
    </xf>
    <xf numFmtId="197" fontId="25" fillId="0" borderId="65" xfId="0" applyNumberFormat="1" applyFont="1" applyBorder="1" applyAlignment="1">
      <alignment horizontal="left" vertical="top"/>
    </xf>
    <xf numFmtId="197" fontId="25" fillId="0" borderId="66" xfId="0" applyNumberFormat="1" applyFont="1" applyBorder="1" applyAlignment="1">
      <alignment horizontal="left" vertical="top"/>
    </xf>
    <xf numFmtId="2" fontId="25" fillId="0" borderId="64" xfId="0" applyNumberFormat="1" applyFont="1" applyBorder="1" applyAlignment="1">
      <alignment horizontal="center" vertical="top"/>
    </xf>
    <xf numFmtId="2" fontId="25" fillId="0" borderId="66" xfId="0" applyNumberFormat="1" applyFont="1" applyBorder="1" applyAlignment="1">
      <alignment horizontal="center" vertical="top"/>
    </xf>
    <xf numFmtId="0" fontId="25" fillId="0" borderId="19" xfId="0" applyFont="1" applyBorder="1" applyAlignment="1">
      <alignment horizontal="left" vertical="top"/>
    </xf>
    <xf numFmtId="0" fontId="25" fillId="0" borderId="19" xfId="0" applyFont="1" applyBorder="1" applyAlignment="1">
      <alignment horizontal="center" vertical="top"/>
    </xf>
    <xf numFmtId="0" fontId="20" fillId="0" borderId="84" xfId="0" applyFont="1" applyBorder="1" applyAlignment="1">
      <alignment horizontal="center" vertical="top" wrapText="1"/>
    </xf>
    <xf numFmtId="0" fontId="20" fillId="0" borderId="85" xfId="0" applyFont="1" applyBorder="1" applyAlignment="1">
      <alignment horizontal="center" vertical="top" wrapText="1"/>
    </xf>
    <xf numFmtId="0" fontId="20" fillId="0" borderId="69" xfId="0" applyFont="1" applyBorder="1" applyAlignment="1">
      <alignment horizontal="center" vertical="top"/>
    </xf>
    <xf numFmtId="0" fontId="20" fillId="0" borderId="45" xfId="0" applyFont="1" applyBorder="1" applyAlignment="1">
      <alignment horizontal="center" vertical="top"/>
    </xf>
    <xf numFmtId="0" fontId="25" fillId="0" borderId="64" xfId="0" applyFont="1" applyBorder="1" applyAlignment="1">
      <alignment horizontal="center" vertical="top" wrapText="1"/>
    </xf>
    <xf numFmtId="0" fontId="25" fillId="0" borderId="65" xfId="0" applyFont="1" applyBorder="1" applyAlignment="1">
      <alignment horizontal="center" vertical="top" wrapText="1"/>
    </xf>
    <xf numFmtId="0" fontId="25" fillId="0" borderId="66" xfId="0" applyFont="1" applyBorder="1" applyAlignment="1">
      <alignment horizontal="center" vertical="top" wrapText="1"/>
    </xf>
    <xf numFmtId="0" fontId="25" fillId="0" borderId="19" xfId="0" applyFont="1" applyBorder="1" applyAlignment="1">
      <alignment horizontal="left" vertical="top" wrapText="1"/>
    </xf>
    <xf numFmtId="0" fontId="25" fillId="0" borderId="64" xfId="0" applyFont="1" applyBorder="1" applyAlignment="1">
      <alignment horizontal="left" vertical="top" wrapText="1"/>
    </xf>
    <xf numFmtId="0" fontId="25" fillId="0" borderId="65" xfId="0" applyFont="1" applyBorder="1" applyAlignment="1">
      <alignment horizontal="left" vertical="top" wrapText="1"/>
    </xf>
    <xf numFmtId="0" fontId="25" fillId="0" borderId="66" xfId="0" applyFont="1" applyBorder="1" applyAlignment="1">
      <alignment horizontal="left" vertical="top" wrapText="1"/>
    </xf>
    <xf numFmtId="0" fontId="25" fillId="0" borderId="19" xfId="0" applyFont="1" applyBorder="1" applyAlignment="1">
      <alignment horizontal="center" vertical="top" wrapText="1"/>
    </xf>
    <xf numFmtId="2" fontId="25" fillId="0" borderId="19" xfId="0" applyNumberFormat="1" applyFont="1" applyBorder="1" applyAlignment="1">
      <alignment vertical="top"/>
    </xf>
    <xf numFmtId="49" fontId="25" fillId="0" borderId="79" xfId="0" applyNumberFormat="1" applyFont="1" applyBorder="1" applyAlignment="1">
      <alignment horizontal="left" vertical="top"/>
    </xf>
    <xf numFmtId="49" fontId="25" fillId="0" borderId="80" xfId="0" applyNumberFormat="1" applyFont="1" applyBorder="1" applyAlignment="1">
      <alignment horizontal="left" vertical="top"/>
    </xf>
    <xf numFmtId="49" fontId="25" fillId="0" borderId="81" xfId="0" applyNumberFormat="1" applyFont="1" applyBorder="1" applyAlignment="1">
      <alignment horizontal="left" vertical="top"/>
    </xf>
    <xf numFmtId="0" fontId="20" fillId="0" borderId="37" xfId="0" applyFont="1" applyBorder="1" applyAlignment="1">
      <alignment horizontal="right" vertical="top"/>
    </xf>
    <xf numFmtId="0" fontId="25" fillId="0" borderId="34" xfId="0" applyFont="1" applyBorder="1" applyAlignment="1">
      <alignment horizontal="left" vertical="top"/>
    </xf>
    <xf numFmtId="0" fontId="20" fillId="0" borderId="37" xfId="0" applyFont="1" applyBorder="1" applyAlignment="1">
      <alignment horizontal="left" vertical="top"/>
    </xf>
    <xf numFmtId="0" fontId="20" fillId="0" borderId="19" xfId="0" applyFont="1" applyBorder="1" applyAlignment="1">
      <alignment horizontal="center" vertical="top"/>
    </xf>
    <xf numFmtId="2" fontId="25" fillId="0" borderId="64" xfId="0" applyNumberFormat="1" applyFont="1" applyBorder="1" applyAlignment="1">
      <alignment vertical="top"/>
    </xf>
    <xf numFmtId="2" fontId="25" fillId="0" borderId="66" xfId="0" applyNumberFormat="1" applyFont="1" applyBorder="1" applyAlignment="1">
      <alignment vertical="top"/>
    </xf>
    <xf numFmtId="0" fontId="25" fillId="0" borderId="35" xfId="0" applyFont="1" applyBorder="1" applyAlignment="1">
      <alignment horizontal="center" vertical="top" wrapText="1"/>
    </xf>
    <xf numFmtId="1" fontId="25" fillId="0" borderId="19" xfId="0" applyNumberFormat="1" applyFont="1" applyBorder="1" applyAlignment="1">
      <alignment horizontal="left" vertical="top"/>
    </xf>
    <xf numFmtId="0" fontId="25" fillId="0" borderId="12" xfId="0" applyFont="1" applyBorder="1" applyAlignment="1">
      <alignment horizontal="center" vertical="top" wrapText="1"/>
    </xf>
    <xf numFmtId="0" fontId="25" fillId="0" borderId="37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left" vertical="top"/>
    </xf>
    <xf numFmtId="0" fontId="20" fillId="0" borderId="86" xfId="0" applyFont="1" applyBorder="1" applyAlignment="1">
      <alignment horizontal="left" vertical="top"/>
    </xf>
    <xf numFmtId="0" fontId="27" fillId="26" borderId="0" xfId="0" applyFont="1" applyFill="1" applyAlignment="1">
      <alignment horizontal="center" vertical="top"/>
    </xf>
    <xf numFmtId="0" fontId="0" fillId="26" borderId="0" xfId="0" applyFont="1" applyFill="1" applyAlignment="1">
      <alignment horizontal="center" vertical="top"/>
    </xf>
    <xf numFmtId="0" fontId="20" fillId="0" borderId="0" xfId="0" applyFont="1" applyBorder="1" applyAlignment="1">
      <alignment horizontal="center" vertical="top" wrapText="1"/>
    </xf>
    <xf numFmtId="0" fontId="20" fillId="0" borderId="23" xfId="0" applyFont="1" applyBorder="1" applyAlignment="1">
      <alignment horizontal="center" vertical="top"/>
    </xf>
    <xf numFmtId="14" fontId="20" fillId="0" borderId="53" xfId="0" applyNumberFormat="1" applyFont="1" applyBorder="1" applyAlignment="1">
      <alignment horizontal="left" vertical="top"/>
    </xf>
    <xf numFmtId="0" fontId="20" fillId="0" borderId="54" xfId="0" applyFont="1" applyBorder="1" applyAlignment="1">
      <alignment horizontal="left" vertical="top"/>
    </xf>
    <xf numFmtId="0" fontId="20" fillId="0" borderId="55" xfId="0" applyFont="1" applyBorder="1" applyAlignment="1">
      <alignment horizontal="left" vertical="top"/>
    </xf>
    <xf numFmtId="0" fontId="20" fillId="0" borderId="59" xfId="0" applyFont="1" applyBorder="1" applyAlignment="1">
      <alignment horizontal="left" vertical="top"/>
    </xf>
    <xf numFmtId="0" fontId="20" fillId="0" borderId="60" xfId="0" applyFont="1" applyBorder="1" applyAlignment="1">
      <alignment horizontal="left" vertical="top"/>
    </xf>
    <xf numFmtId="0" fontId="20" fillId="0" borderId="87" xfId="0" applyFont="1" applyBorder="1" applyAlignment="1">
      <alignment horizontal="left" vertical="top"/>
    </xf>
    <xf numFmtId="4" fontId="20" fillId="0" borderId="23" xfId="0" applyNumberFormat="1" applyFont="1" applyBorder="1" applyAlignment="1">
      <alignment horizontal="left" vertical="top"/>
    </xf>
    <xf numFmtId="0" fontId="20" fillId="0" borderId="19" xfId="0" applyFont="1" applyBorder="1" applyAlignment="1">
      <alignment horizontal="left" vertical="top"/>
    </xf>
    <xf numFmtId="198" fontId="20" fillId="0" borderId="23" xfId="0" applyNumberFormat="1" applyFont="1" applyBorder="1" applyAlignment="1">
      <alignment horizontal="left" vertical="top"/>
    </xf>
    <xf numFmtId="0" fontId="20" fillId="24" borderId="88" xfId="0" applyFont="1" applyFill="1" applyBorder="1" applyAlignment="1">
      <alignment horizontal="left" vertical="top"/>
    </xf>
    <xf numFmtId="0" fontId="20" fillId="24" borderId="19" xfId="0" applyFont="1" applyFill="1" applyBorder="1" applyAlignment="1">
      <alignment horizontal="left" vertical="top"/>
    </xf>
    <xf numFmtId="1" fontId="20" fillId="24" borderId="19" xfId="0" applyNumberFormat="1" applyFont="1" applyFill="1" applyBorder="1" applyAlignment="1">
      <alignment horizontal="left" vertical="top"/>
    </xf>
    <xf numFmtId="0" fontId="20" fillId="0" borderId="19" xfId="0" applyFont="1" applyBorder="1" applyAlignment="1">
      <alignment horizontal="center" vertical="top" wrapText="1"/>
    </xf>
    <xf numFmtId="0" fontId="20" fillId="0" borderId="45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top" wrapText="1"/>
    </xf>
    <xf numFmtId="0" fontId="25" fillId="0" borderId="37" xfId="0" applyFont="1" applyBorder="1" applyAlignment="1">
      <alignment horizontal="center" vertical="top"/>
    </xf>
    <xf numFmtId="0" fontId="25" fillId="0" borderId="34" xfId="0" applyFont="1" applyBorder="1" applyAlignment="1">
      <alignment horizontal="center" vertical="top"/>
    </xf>
    <xf numFmtId="0" fontId="25" fillId="0" borderId="32" xfId="0" applyFont="1" applyBorder="1" applyAlignment="1">
      <alignment horizontal="center" vertical="top"/>
    </xf>
    <xf numFmtId="2" fontId="25" fillId="0" borderId="64" xfId="0" applyNumberFormat="1" applyFont="1" applyBorder="1" applyAlignment="1">
      <alignment horizontal="right" vertical="top" wrapText="1"/>
    </xf>
    <xf numFmtId="2" fontId="25" fillId="0" borderId="65" xfId="0" applyNumberFormat="1" applyFont="1" applyBorder="1" applyAlignment="1">
      <alignment horizontal="right" vertical="top" wrapText="1"/>
    </xf>
    <xf numFmtId="2" fontId="25" fillId="0" borderId="66" xfId="0" applyNumberFormat="1" applyFont="1" applyBorder="1" applyAlignment="1">
      <alignment horizontal="right" vertical="top" wrapText="1"/>
    </xf>
    <xf numFmtId="49" fontId="25" fillId="0" borderId="78" xfId="0" applyNumberFormat="1" applyFont="1" applyBorder="1" applyAlignment="1">
      <alignment horizontal="left" vertical="top" wrapText="1"/>
    </xf>
    <xf numFmtId="49" fontId="25" fillId="0" borderId="73" xfId="0" applyNumberFormat="1" applyFont="1" applyBorder="1" applyAlignment="1">
      <alignment horizontal="left" vertical="top" wrapText="1"/>
    </xf>
    <xf numFmtId="49" fontId="25" fillId="0" borderId="74" xfId="0" applyNumberFormat="1" applyFont="1" applyBorder="1" applyAlignment="1">
      <alignment horizontal="left" vertical="top" wrapText="1"/>
    </xf>
    <xf numFmtId="0" fontId="25" fillId="0" borderId="23" xfId="0" applyFont="1" applyBorder="1" applyAlignment="1">
      <alignment horizontal="left" vertical="top" wrapText="1"/>
    </xf>
    <xf numFmtId="2" fontId="25" fillId="0" borderId="25" xfId="0" applyNumberFormat="1" applyFont="1" applyBorder="1" applyAlignment="1">
      <alignment horizontal="right" vertical="top" wrapText="1"/>
    </xf>
    <xf numFmtId="2" fontId="25" fillId="0" borderId="73" xfId="0" applyNumberFormat="1" applyFont="1" applyBorder="1" applyAlignment="1">
      <alignment horizontal="right" vertical="top" wrapText="1"/>
    </xf>
    <xf numFmtId="2" fontId="25" fillId="0" borderId="82" xfId="0" applyNumberFormat="1" applyFont="1" applyBorder="1" applyAlignment="1">
      <alignment horizontal="right" vertical="top" wrapText="1"/>
    </xf>
    <xf numFmtId="2" fontId="25" fillId="0" borderId="23" xfId="0" applyNumberFormat="1" applyFont="1" applyBorder="1" applyAlignment="1">
      <alignment horizontal="right" vertical="top" wrapText="1"/>
    </xf>
    <xf numFmtId="0" fontId="25" fillId="0" borderId="25" xfId="0" applyFont="1" applyBorder="1" applyAlignment="1">
      <alignment horizontal="left" vertical="top" wrapText="1"/>
    </xf>
    <xf numFmtId="0" fontId="25" fillId="0" borderId="73" xfId="0" applyFont="1" applyBorder="1" applyAlignment="1">
      <alignment horizontal="left" vertical="top" wrapText="1"/>
    </xf>
    <xf numFmtId="0" fontId="25" fillId="0" borderId="83" xfId="0" applyFont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 wrapText="1"/>
    </xf>
    <xf numFmtId="2" fontId="20" fillId="0" borderId="37" xfId="0" applyNumberFormat="1" applyFont="1" applyBorder="1" applyAlignment="1">
      <alignment horizontal="right" vertical="top" wrapText="1"/>
    </xf>
    <xf numFmtId="49" fontId="25" fillId="0" borderId="77" xfId="0" applyNumberFormat="1" applyFont="1" applyBorder="1" applyAlignment="1">
      <alignment horizontal="left" vertical="top" wrapText="1"/>
    </xf>
    <xf numFmtId="49" fontId="25" fillId="0" borderId="24" xfId="0" applyNumberFormat="1" applyFont="1" applyBorder="1" applyAlignment="1">
      <alignment horizontal="left" vertical="top" wrapText="1"/>
    </xf>
    <xf numFmtId="2" fontId="25" fillId="0" borderId="19" xfId="0" applyNumberFormat="1" applyFont="1" applyBorder="1" applyAlignment="1">
      <alignment horizontal="right" vertical="top" wrapText="1"/>
    </xf>
    <xf numFmtId="0" fontId="25" fillId="0" borderId="24" xfId="0" applyFont="1" applyBorder="1" applyAlignment="1">
      <alignment horizontal="left" vertical="top" wrapText="1"/>
    </xf>
    <xf numFmtId="0" fontId="25" fillId="0" borderId="34" xfId="0" applyFont="1" applyBorder="1" applyAlignment="1">
      <alignment horizontal="left" vertical="top" wrapText="1"/>
    </xf>
    <xf numFmtId="2" fontId="25" fillId="0" borderId="34" xfId="0" applyNumberFormat="1" applyFont="1" applyBorder="1" applyAlignment="1">
      <alignment horizontal="right" vertical="top" wrapText="1"/>
    </xf>
    <xf numFmtId="0" fontId="25" fillId="0" borderId="21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left" vertical="top" wrapText="1"/>
    </xf>
    <xf numFmtId="0" fontId="26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right" vertical="top"/>
    </xf>
    <xf numFmtId="0" fontId="20" fillId="0" borderId="0" xfId="0" applyFont="1" applyBorder="1" applyAlignment="1">
      <alignment horizontal="left" vertical="top" wrapText="1"/>
    </xf>
    <xf numFmtId="0" fontId="25" fillId="0" borderId="76" xfId="0" applyFont="1" applyBorder="1" applyAlignment="1">
      <alignment horizontal="left" vertical="top" wrapText="1"/>
    </xf>
    <xf numFmtId="0" fontId="25" fillId="0" borderId="37" xfId="0" applyFont="1" applyBorder="1" applyAlignment="1">
      <alignment horizontal="left" vertical="top" wrapText="1"/>
    </xf>
    <xf numFmtId="0" fontId="25" fillId="0" borderId="27" xfId="0" applyFont="1" applyBorder="1" applyAlignment="1">
      <alignment horizontal="left" vertical="top" wrapText="1"/>
    </xf>
    <xf numFmtId="0" fontId="25" fillId="0" borderId="72" xfId="0" applyFont="1" applyBorder="1" applyAlignment="1">
      <alignment horizontal="left" vertical="top" wrapText="1"/>
    </xf>
    <xf numFmtId="14" fontId="21" fillId="0" borderId="0" xfId="0" applyNumberFormat="1" applyFont="1" applyBorder="1" applyAlignment="1">
      <alignment horizontal="left" vertical="top"/>
    </xf>
    <xf numFmtId="2" fontId="25" fillId="0" borderId="37" xfId="0" applyNumberFormat="1" applyFont="1" applyBorder="1" applyAlignment="1">
      <alignment horizontal="right" vertical="top" wrapText="1"/>
    </xf>
    <xf numFmtId="0" fontId="25" fillId="0" borderId="0" xfId="0" applyFont="1" applyAlignment="1">
      <alignment horizontal="left" vertical="top" wrapText="1"/>
    </xf>
    <xf numFmtId="2" fontId="25" fillId="0" borderId="12" xfId="0" applyNumberFormat="1" applyFont="1" applyBorder="1" applyAlignment="1">
      <alignment horizontal="right" vertical="top" wrapText="1"/>
    </xf>
    <xf numFmtId="2" fontId="25" fillId="0" borderId="28" xfId="0" applyNumberFormat="1" applyFont="1" applyBorder="1" applyAlignment="1">
      <alignment horizontal="right" vertical="top" wrapText="1"/>
    </xf>
    <xf numFmtId="2" fontId="25" fillId="0" borderId="27" xfId="0" applyNumberFormat="1" applyFont="1" applyBorder="1" applyAlignment="1">
      <alignment horizontal="right" vertical="top" wrapText="1"/>
    </xf>
    <xf numFmtId="0" fontId="25" fillId="0" borderId="74" xfId="0" applyFont="1" applyBorder="1" applyAlignment="1">
      <alignment horizontal="left" vertical="top" wrapText="1"/>
    </xf>
    <xf numFmtId="2" fontId="25" fillId="0" borderId="24" xfId="0" applyNumberFormat="1" applyFont="1" applyBorder="1" applyAlignment="1">
      <alignment horizontal="right" vertical="top" wrapText="1"/>
    </xf>
    <xf numFmtId="49" fontId="25" fillId="0" borderId="75" xfId="0" applyNumberFormat="1" applyFont="1" applyBorder="1" applyAlignment="1">
      <alignment horizontal="left" vertical="top"/>
    </xf>
    <xf numFmtId="49" fontId="25" fillId="0" borderId="21" xfId="0" applyNumberFormat="1" applyFont="1" applyBorder="1" applyAlignment="1">
      <alignment horizontal="left" vertical="top"/>
    </xf>
    <xf numFmtId="0" fontId="25" fillId="0" borderId="12" xfId="0" applyFont="1" applyBorder="1" applyAlignment="1">
      <alignment horizontal="center" vertical="top"/>
    </xf>
    <xf numFmtId="2" fontId="24" fillId="0" borderId="19" xfId="0" applyNumberFormat="1" applyFont="1" applyBorder="1" applyAlignment="1">
      <alignment horizontal="right" vertical="top"/>
    </xf>
    <xf numFmtId="2" fontId="25" fillId="0" borderId="72" xfId="0" applyNumberFormat="1" applyFont="1" applyBorder="1" applyAlignment="1">
      <alignment horizontal="right" vertical="top" wrapText="1"/>
    </xf>
    <xf numFmtId="2" fontId="25" fillId="0" borderId="18" xfId="0" applyNumberFormat="1" applyFont="1" applyBorder="1" applyAlignment="1">
      <alignment horizontal="right" vertical="top" wrapText="1"/>
    </xf>
    <xf numFmtId="0" fontId="25" fillId="0" borderId="12" xfId="0" applyFont="1" applyBorder="1" applyAlignment="1">
      <alignment horizontal="left" vertical="top" wrapText="1"/>
    </xf>
    <xf numFmtId="0" fontId="20" fillId="0" borderId="69" xfId="0" applyFont="1" applyBorder="1" applyAlignment="1">
      <alignment horizontal="center" vertical="top" wrapText="1"/>
    </xf>
    <xf numFmtId="0" fontId="25" fillId="0" borderId="69" xfId="0" applyFont="1" applyBorder="1" applyAlignment="1">
      <alignment horizontal="center" vertical="top" wrapText="1"/>
    </xf>
    <xf numFmtId="0" fontId="25" fillId="0" borderId="70" xfId="0" applyFont="1" applyBorder="1" applyAlignment="1">
      <alignment horizontal="center" vertical="top" wrapText="1"/>
    </xf>
    <xf numFmtId="0" fontId="25" fillId="0" borderId="45" xfId="0" applyFont="1" applyBorder="1" applyAlignment="1">
      <alignment horizontal="center" vertical="top" wrapText="1"/>
    </xf>
    <xf numFmtId="0" fontId="25" fillId="0" borderId="71" xfId="0" applyFont="1" applyBorder="1" applyAlignment="1">
      <alignment horizontal="center" vertical="top" wrapText="1"/>
    </xf>
    <xf numFmtId="2" fontId="20" fillId="0" borderId="37" xfId="0" applyNumberFormat="1" applyFont="1" applyBorder="1" applyAlignment="1">
      <alignment horizontal="right" vertical="top"/>
    </xf>
    <xf numFmtId="2" fontId="20" fillId="0" borderId="67" xfId="0" applyNumberFormat="1" applyFont="1" applyBorder="1" applyAlignment="1">
      <alignment horizontal="right" vertical="top"/>
    </xf>
    <xf numFmtId="2" fontId="20" fillId="0" borderId="68" xfId="0" applyNumberFormat="1" applyFont="1" applyBorder="1" applyAlignment="1">
      <alignment horizontal="right" vertical="top"/>
    </xf>
    <xf numFmtId="179" fontId="25" fillId="0" borderId="34" xfId="0" applyNumberFormat="1" applyFont="1" applyBorder="1" applyAlignment="1">
      <alignment horizontal="center" vertical="top"/>
    </xf>
    <xf numFmtId="2" fontId="25" fillId="0" borderId="19" xfId="0" applyNumberFormat="1" applyFont="1" applyBorder="1" applyAlignment="1">
      <alignment horizontal="right" vertical="top"/>
    </xf>
    <xf numFmtId="14" fontId="21" fillId="0" borderId="49" xfId="0" applyNumberFormat="1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49" fontId="23" fillId="0" borderId="12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1" fontId="18" fillId="0" borderId="38" xfId="0" applyNumberFormat="1" applyFont="1" applyBorder="1" applyAlignment="1">
      <alignment horizontal="left" vertical="center" wrapText="1"/>
    </xf>
    <xf numFmtId="0" fontId="21" fillId="0" borderId="101" xfId="0" applyFont="1" applyBorder="1" applyAlignment="1">
      <alignment horizontal="left" vertical="center"/>
    </xf>
    <xf numFmtId="0" fontId="21" fillId="0" borderId="102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93" xfId="0" applyFont="1" applyBorder="1" applyAlignment="1">
      <alignment horizontal="center" vertical="center" wrapText="1"/>
    </xf>
    <xf numFmtId="0" fontId="21" fillId="0" borderId="94" xfId="0" applyFont="1" applyBorder="1" applyAlignment="1">
      <alignment horizontal="center" vertical="center" wrapText="1"/>
    </xf>
    <xf numFmtId="0" fontId="21" fillId="0" borderId="95" xfId="0" applyFont="1" applyBorder="1" applyAlignment="1">
      <alignment horizontal="center" vertical="center" wrapText="1"/>
    </xf>
    <xf numFmtId="0" fontId="21" fillId="0" borderId="96" xfId="0" applyFont="1" applyBorder="1" applyAlignment="1">
      <alignment horizontal="center" vertical="center" wrapText="1"/>
    </xf>
    <xf numFmtId="0" fontId="21" fillId="0" borderId="97" xfId="0" applyFont="1" applyBorder="1" applyAlignment="1">
      <alignment horizontal="center" vertical="center" wrapText="1"/>
    </xf>
    <xf numFmtId="0" fontId="21" fillId="0" borderId="98" xfId="0" applyFont="1" applyBorder="1" applyAlignment="1">
      <alignment horizontal="center" vertical="center" wrapText="1"/>
    </xf>
    <xf numFmtId="0" fontId="28" fillId="0" borderId="71" xfId="0" applyFont="1" applyBorder="1" applyAlignment="1" applyProtection="1">
      <alignment horizontal="center" vertical="center" wrapText="1"/>
    </xf>
    <xf numFmtId="0" fontId="28" fillId="0" borderId="99" xfId="0" applyFont="1" applyBorder="1" applyAlignment="1" applyProtection="1">
      <alignment horizontal="center" vertical="center" wrapText="1"/>
    </xf>
    <xf numFmtId="0" fontId="28" fillId="0" borderId="100" xfId="0" applyFont="1" applyBorder="1" applyAlignment="1" applyProtection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3" fontId="23" fillId="0" borderId="15" xfId="0" applyNumberFormat="1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/>
    </xf>
    <xf numFmtId="0" fontId="21" fillId="0" borderId="0" xfId="0" applyFont="1" applyBorder="1" applyAlignment="1">
      <alignment horizontal="right" vertical="center"/>
    </xf>
    <xf numFmtId="0" fontId="23" fillId="25" borderId="89" xfId="0" applyFont="1" applyFill="1" applyBorder="1" applyAlignment="1">
      <alignment horizontal="left" vertical="center"/>
    </xf>
    <xf numFmtId="0" fontId="23" fillId="25" borderId="90" xfId="0" applyFont="1" applyFill="1" applyBorder="1" applyAlignment="1">
      <alignment horizontal="left" vertical="center"/>
    </xf>
    <xf numFmtId="182" fontId="23" fillId="25" borderId="91" xfId="0" applyNumberFormat="1" applyFont="1" applyFill="1" applyBorder="1" applyAlignment="1">
      <alignment horizontal="right" vertical="center"/>
    </xf>
    <xf numFmtId="182" fontId="23" fillId="25" borderId="92" xfId="0" applyNumberFormat="1" applyFont="1" applyFill="1" applyBorder="1" applyAlignment="1">
      <alignment horizontal="right" vertical="center"/>
    </xf>
    <xf numFmtId="0" fontId="21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" fontId="21" fillId="0" borderId="0" xfId="0" applyNumberFormat="1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114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left" vertical="center"/>
    </xf>
    <xf numFmtId="0" fontId="20" fillId="0" borderId="113" xfId="0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 wrapText="1"/>
    </xf>
    <xf numFmtId="4" fontId="21" fillId="22" borderId="34" xfId="0" applyNumberFormat="1" applyFont="1" applyFill="1" applyBorder="1" applyAlignment="1">
      <alignment horizontal="right" vertical="center"/>
    </xf>
    <xf numFmtId="0" fontId="21" fillId="0" borderId="21" xfId="0" applyFont="1" applyFill="1" applyBorder="1" applyAlignment="1">
      <alignment horizontal="right" vertical="center"/>
    </xf>
    <xf numFmtId="0" fontId="21" fillId="0" borderId="24" xfId="0" applyFont="1" applyFill="1" applyBorder="1" applyAlignment="1">
      <alignment horizontal="right" vertical="center"/>
    </xf>
    <xf numFmtId="0" fontId="20" fillId="22" borderId="37" xfId="0" applyFont="1" applyFill="1" applyBorder="1" applyAlignment="1">
      <alignment horizontal="left" vertical="center"/>
    </xf>
    <xf numFmtId="0" fontId="20" fillId="0" borderId="22" xfId="0" applyFont="1" applyBorder="1" applyAlignment="1">
      <alignment horizontal="left" vertical="center" wrapText="1"/>
    </xf>
    <xf numFmtId="4" fontId="21" fillId="22" borderId="23" xfId="0" applyNumberFormat="1" applyFont="1" applyFill="1" applyBorder="1" applyAlignment="1">
      <alignment horizontal="right" vertical="center"/>
    </xf>
    <xf numFmtId="0" fontId="21" fillId="0" borderId="27" xfId="0" applyFont="1" applyBorder="1" applyAlignment="1">
      <alignment horizontal="left" vertical="center"/>
    </xf>
    <xf numFmtId="0" fontId="21" fillId="0" borderId="32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4" fontId="21" fillId="0" borderId="23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left" vertical="center"/>
    </xf>
    <xf numFmtId="4" fontId="20" fillId="22" borderId="35" xfId="0" applyNumberFormat="1" applyFont="1" applyFill="1" applyBorder="1" applyAlignment="1">
      <alignment horizontal="right" vertical="center"/>
    </xf>
    <xf numFmtId="0" fontId="20" fillId="0" borderId="32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 wrapText="1"/>
    </xf>
    <xf numFmtId="0" fontId="21" fillId="0" borderId="15" xfId="0" applyFont="1" applyFill="1" applyBorder="1" applyAlignment="1">
      <alignment horizontal="right" vertical="center"/>
    </xf>
    <xf numFmtId="0" fontId="21" fillId="0" borderId="28" xfId="0" applyFont="1" applyFill="1" applyBorder="1" applyAlignment="1">
      <alignment horizontal="right" vertical="center" wrapText="1"/>
    </xf>
    <xf numFmtId="4" fontId="21" fillId="0" borderId="34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left" vertical="center" wrapText="1"/>
    </xf>
    <xf numFmtId="4" fontId="21" fillId="0" borderId="27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horizontal="left" vertical="center" wrapText="1"/>
    </xf>
    <xf numFmtId="4" fontId="20" fillId="22" borderId="37" xfId="0" applyNumberFormat="1" applyFont="1" applyFill="1" applyBorder="1" applyAlignment="1">
      <alignment horizontal="right" vertical="center"/>
    </xf>
    <xf numFmtId="0" fontId="21" fillId="0" borderId="12" xfId="0" applyFont="1" applyFill="1" applyBorder="1" applyAlignment="1">
      <alignment horizontal="right" vertical="center"/>
    </xf>
    <xf numFmtId="0" fontId="20" fillId="0" borderId="109" xfId="0" applyFont="1" applyBorder="1" applyAlignment="1">
      <alignment horizontal="left" vertical="center"/>
    </xf>
    <xf numFmtId="0" fontId="20" fillId="0" borderId="105" xfId="0" applyFont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0" fontId="21" fillId="0" borderId="105" xfId="0" applyFont="1" applyBorder="1" applyAlignment="1">
      <alignment horizontal="left" vertical="center"/>
    </xf>
    <xf numFmtId="0" fontId="21" fillId="0" borderId="39" xfId="0" applyFont="1" applyBorder="1" applyAlignment="1">
      <alignment horizontal="left" vertical="center"/>
    </xf>
    <xf numFmtId="0" fontId="22" fillId="0" borderId="111" xfId="0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0" fillId="0" borderId="109" xfId="0" applyFont="1" applyBorder="1" applyAlignment="1">
      <alignment horizontal="left" vertical="center" wrapText="1"/>
    </xf>
    <xf numFmtId="0" fontId="20" fillId="0" borderId="105" xfId="0" applyFont="1" applyBorder="1" applyAlignment="1">
      <alignment horizontal="left" vertical="center" wrapText="1"/>
    </xf>
    <xf numFmtId="0" fontId="20" fillId="0" borderId="110" xfId="0" applyFont="1" applyBorder="1" applyAlignment="1">
      <alignment horizontal="left" vertical="center" wrapText="1"/>
    </xf>
    <xf numFmtId="0" fontId="22" fillId="0" borderId="105" xfId="0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58" xfId="0" applyFont="1" applyBorder="1" applyAlignment="1">
      <alignment horizontal="left" vertical="center"/>
    </xf>
    <xf numFmtId="14" fontId="20" fillId="0" borderId="41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right" vertical="center"/>
    </xf>
    <xf numFmtId="1" fontId="20" fillId="0" borderId="108" xfId="0" applyNumberFormat="1" applyFont="1" applyBorder="1" applyAlignment="1">
      <alignment horizontal="left" vertical="center"/>
    </xf>
    <xf numFmtId="1" fontId="20" fillId="0" borderId="23" xfId="0" applyNumberFormat="1" applyFont="1" applyBorder="1" applyAlignment="1">
      <alignment horizontal="left" vertical="center"/>
    </xf>
    <xf numFmtId="0" fontId="20" fillId="0" borderId="108" xfId="0" applyFont="1" applyBorder="1" applyAlignment="1">
      <alignment horizontal="left" vertical="center"/>
    </xf>
    <xf numFmtId="0" fontId="21" fillId="0" borderId="10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104" xfId="0" applyFont="1" applyBorder="1" applyAlignment="1">
      <alignment horizontal="left" vertical="center"/>
    </xf>
    <xf numFmtId="0" fontId="20" fillId="0" borderId="106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5" xfId="0" applyFont="1" applyBorder="1" applyAlignment="1">
      <alignment horizontal="right" vertical="center"/>
    </xf>
    <xf numFmtId="183" fontId="20" fillId="0" borderId="23" xfId="0" applyNumberFormat="1" applyFont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28575</xdr:rowOff>
    </xdr:from>
    <xdr:to>
      <xdr:col>17</xdr:col>
      <xdr:colOff>28575</xdr:colOff>
      <xdr:row>0</xdr:row>
      <xdr:rowOff>266700</xdr:rowOff>
    </xdr:to>
    <xdr:pic>
      <xdr:nvPicPr>
        <xdr:cNvPr id="2812" name="Picture 1">
          <a:extLst>
            <a:ext uri="{FF2B5EF4-FFF2-40B4-BE49-F238E27FC236}">
              <a16:creationId xmlns:a16="http://schemas.microsoft.com/office/drawing/2014/main" id="{66B4AD10-76BE-4545-8A8E-322E079F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74000" contrast="9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28575"/>
          <a:ext cx="26193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180975</xdr:colOff>
      <xdr:row>118</xdr:row>
      <xdr:rowOff>161925</xdr:rowOff>
    </xdr:from>
    <xdr:to>
      <xdr:col>15</xdr:col>
      <xdr:colOff>200025</xdr:colOff>
      <xdr:row>120</xdr:row>
      <xdr:rowOff>0</xdr:rowOff>
    </xdr:to>
    <xdr:sp macro="" textlink="">
      <xdr:nvSpPr>
        <xdr:cNvPr id="2779" name="WordArt 731">
          <a:extLst>
            <a:ext uri="{FF2B5EF4-FFF2-40B4-BE49-F238E27FC236}">
              <a16:creationId xmlns:a16="http://schemas.microsoft.com/office/drawing/2014/main" id="{2643AAE5-2FA1-4B0E-8DEE-8B2A7AAF0F7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57625" y="18449925"/>
          <a:ext cx="571500" cy="1905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IN" sz="4200" kern="10" spc="0">
              <a:ln>
                <a:noFill/>
              </a:ln>
              <a:solidFill>
                <a:srgbClr val="000000">
                  <a:alpha val="50000"/>
                </a:srgb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Internal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0</xdr:row>
      <xdr:rowOff>0</xdr:rowOff>
    </xdr:from>
    <xdr:to>
      <xdr:col>12</xdr:col>
      <xdr:colOff>161925</xdr:colOff>
      <xdr:row>0</xdr:row>
      <xdr:rowOff>142875</xdr:rowOff>
    </xdr:to>
    <xdr:pic>
      <xdr:nvPicPr>
        <xdr:cNvPr id="1795" name="Picture 1">
          <a:extLst>
            <a:ext uri="{FF2B5EF4-FFF2-40B4-BE49-F238E27FC236}">
              <a16:creationId xmlns:a16="http://schemas.microsoft.com/office/drawing/2014/main" id="{2D284C23-0F9A-4334-A791-DA488F80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74000" contrast="9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0"/>
          <a:ext cx="25431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285750</xdr:colOff>
      <xdr:row>79</xdr:row>
      <xdr:rowOff>95250</xdr:rowOff>
    </xdr:from>
    <xdr:to>
      <xdr:col>13</xdr:col>
      <xdr:colOff>390525</xdr:colOff>
      <xdr:row>81</xdr:row>
      <xdr:rowOff>0</xdr:rowOff>
    </xdr:to>
    <xdr:sp macro="" textlink="">
      <xdr:nvSpPr>
        <xdr:cNvPr id="1762" name="WordArt 738">
          <a:extLst>
            <a:ext uri="{FF2B5EF4-FFF2-40B4-BE49-F238E27FC236}">
              <a16:creationId xmlns:a16="http://schemas.microsoft.com/office/drawing/2014/main" id="{D0F6057C-1089-42DF-8C0C-21ECF3BFC8A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43950" y="15297150"/>
          <a:ext cx="571500" cy="1905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IN" sz="4200" kern="10" spc="0">
              <a:ln>
                <a:noFill/>
              </a:ln>
              <a:solidFill>
                <a:srgbClr val="000000">
                  <a:alpha val="50000"/>
                </a:srgb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Internal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0</xdr:row>
      <xdr:rowOff>0</xdr:rowOff>
    </xdr:from>
    <xdr:to>
      <xdr:col>11</xdr:col>
      <xdr:colOff>504825</xdr:colOff>
      <xdr:row>0</xdr:row>
      <xdr:rowOff>219075</xdr:rowOff>
    </xdr:to>
    <xdr:pic>
      <xdr:nvPicPr>
        <xdr:cNvPr id="3836" name="Picture 1">
          <a:extLst>
            <a:ext uri="{FF2B5EF4-FFF2-40B4-BE49-F238E27FC236}">
              <a16:creationId xmlns:a16="http://schemas.microsoft.com/office/drawing/2014/main" id="{DDF2CB0C-6E6C-499F-93D0-67B9F7C4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74000" contrast="9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12858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419100</xdr:colOff>
      <xdr:row>40</xdr:row>
      <xdr:rowOff>114300</xdr:rowOff>
    </xdr:from>
    <xdr:to>
      <xdr:col>11</xdr:col>
      <xdr:colOff>314325</xdr:colOff>
      <xdr:row>42</xdr:row>
      <xdr:rowOff>0</xdr:rowOff>
    </xdr:to>
    <xdr:sp macro="" textlink="">
      <xdr:nvSpPr>
        <xdr:cNvPr id="3803" name="WordArt 731">
          <a:extLst>
            <a:ext uri="{FF2B5EF4-FFF2-40B4-BE49-F238E27FC236}">
              <a16:creationId xmlns:a16="http://schemas.microsoft.com/office/drawing/2014/main" id="{B0227589-833D-4D6D-B5FD-986133F8EF9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10275" y="8162925"/>
          <a:ext cx="571500" cy="1905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IN" sz="4200" kern="10" spc="0">
              <a:ln>
                <a:noFill/>
              </a:ln>
              <a:solidFill>
                <a:srgbClr val="000000">
                  <a:alpha val="50000"/>
                </a:srgb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Internal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1371600</xdr:colOff>
      <xdr:row>30</xdr:row>
      <xdr:rowOff>0</xdr:rowOff>
    </xdr:from>
    <xdr:to>
      <xdr:col>1</xdr:col>
      <xdr:colOff>1943100</xdr:colOff>
      <xdr:row>31</xdr:row>
      <xdr:rowOff>0</xdr:rowOff>
    </xdr:to>
    <xdr:sp macro="" textlink="">
      <xdr:nvSpPr>
        <xdr:cNvPr id="4188" name="WordArt 92">
          <a:extLst>
            <a:ext uri="{FF2B5EF4-FFF2-40B4-BE49-F238E27FC236}">
              <a16:creationId xmlns:a16="http://schemas.microsoft.com/office/drawing/2014/main" id="{7FB0E410-6E52-4231-B0DF-383027369CC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57400" y="5686425"/>
          <a:ext cx="571500" cy="1905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IN" sz="4200" kern="10" spc="0">
              <a:ln>
                <a:noFill/>
              </a:ln>
              <a:solidFill>
                <a:srgbClr val="000000">
                  <a:alpha val="50000"/>
                </a:srgb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A120"/>
  <sheetViews>
    <sheetView tabSelected="1" view="pageBreakPreview" topLeftCell="A3" zoomScaleNormal="100" zoomScaleSheetLayoutView="100" workbookViewId="0">
      <selection activeCell="V23" sqref="V23"/>
    </sheetView>
  </sheetViews>
  <sheetFormatPr defaultRowHeight="13.5" customHeight="1" x14ac:dyDescent="0.2"/>
  <cols>
    <col min="1" max="1" width="1.42578125" style="111" customWidth="1"/>
    <col min="2" max="2" width="4.5703125" style="111" customWidth="1"/>
    <col min="3" max="9" width="4.140625" style="111" customWidth="1"/>
    <col min="10" max="10" width="4.42578125" style="111" customWidth="1"/>
    <col min="11" max="11" width="4.140625" style="111" customWidth="1"/>
    <col min="12" max="12" width="7.42578125" style="111" customWidth="1"/>
    <col min="13" max="15" width="4.140625" style="111" customWidth="1"/>
    <col min="16" max="16" width="7.42578125" style="111" customWidth="1"/>
    <col min="17" max="18" width="4.140625" style="111" customWidth="1"/>
    <col min="19" max="19" width="11.7109375" style="111" customWidth="1"/>
    <col min="20" max="20" width="5" style="111" bestFit="1" customWidth="1"/>
    <col min="21" max="21" width="7.42578125" style="111" customWidth="1"/>
    <col min="22" max="24" width="4.140625" style="111" customWidth="1"/>
    <col min="25" max="25" width="8.5703125" style="111" customWidth="1"/>
    <col min="26" max="26" width="1.42578125" style="111" customWidth="1"/>
    <col min="27" max="27" width="4.5703125" style="111" customWidth="1"/>
    <col min="28" max="16384" width="9.140625" style="111"/>
  </cols>
  <sheetData>
    <row r="1" spans="2:27" ht="21.75" customHeight="1" x14ac:dyDescent="0.2"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113"/>
      <c r="AA1" s="113"/>
    </row>
    <row r="2" spans="2:27" ht="11.25" customHeight="1" x14ac:dyDescent="0.2">
      <c r="B2" s="233" t="s">
        <v>0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113"/>
      <c r="AA2" s="113"/>
    </row>
    <row r="3" spans="2:27" ht="12" customHeight="1" x14ac:dyDescent="0.2">
      <c r="B3" s="233" t="s">
        <v>1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113"/>
      <c r="AA3" s="113"/>
    </row>
    <row r="4" spans="2:27" ht="15" customHeight="1" x14ac:dyDescent="0.2">
      <c r="B4" s="233" t="s">
        <v>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113"/>
      <c r="AA4" s="113"/>
    </row>
    <row r="5" spans="2:27" ht="11.25" customHeight="1" x14ac:dyDescent="0.2">
      <c r="B5" s="233" t="s">
        <v>3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113"/>
      <c r="AA5" s="113"/>
    </row>
    <row r="6" spans="2:27" s="112" customFormat="1" ht="15" customHeight="1" x14ac:dyDescent="0.2">
      <c r="B6" s="114" t="s">
        <v>4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234" t="s">
        <v>5</v>
      </c>
      <c r="V6" s="234"/>
      <c r="W6" s="234" t="s">
        <v>6</v>
      </c>
      <c r="X6" s="234"/>
      <c r="Y6" s="114"/>
      <c r="Z6" s="114"/>
      <c r="AA6" s="114"/>
    </row>
    <row r="7" spans="2:27" s="112" customFormat="1" ht="11.25" customHeight="1" x14ac:dyDescent="0.2">
      <c r="B7" s="229" t="s">
        <v>7</v>
      </c>
      <c r="C7" s="229"/>
      <c r="D7" s="245" t="s">
        <v>222</v>
      </c>
      <c r="E7" s="245"/>
      <c r="F7" s="245"/>
      <c r="G7" s="245"/>
      <c r="H7" s="245"/>
      <c r="I7" s="245"/>
      <c r="J7" s="245"/>
      <c r="K7" s="114"/>
      <c r="L7" s="114"/>
      <c r="M7" s="114"/>
      <c r="N7" s="114"/>
      <c r="O7" s="114"/>
      <c r="P7" s="114"/>
      <c r="Q7" s="114" t="s">
        <v>165</v>
      </c>
      <c r="R7" s="114"/>
      <c r="S7" s="114"/>
      <c r="T7" s="114"/>
      <c r="U7" s="114"/>
      <c r="V7" s="114"/>
      <c r="W7" s="114"/>
      <c r="X7" s="114"/>
      <c r="Y7" s="114"/>
      <c r="Z7" s="114"/>
      <c r="AA7" s="114"/>
    </row>
    <row r="8" spans="2:27" s="112" customFormat="1" ht="11.25" customHeight="1" x14ac:dyDescent="0.2">
      <c r="B8" s="230" t="s">
        <v>8</v>
      </c>
      <c r="C8" s="229"/>
      <c r="D8" s="246">
        <v>804024</v>
      </c>
      <c r="E8" s="246"/>
      <c r="F8" s="246"/>
      <c r="G8" s="246"/>
      <c r="H8" s="246"/>
      <c r="I8" s="246"/>
      <c r="J8" s="246"/>
      <c r="K8" s="114"/>
      <c r="L8" s="114"/>
      <c r="M8" s="114"/>
      <c r="N8" s="114"/>
      <c r="O8" s="114"/>
      <c r="P8" s="114"/>
      <c r="Q8" s="242" t="s">
        <v>223</v>
      </c>
      <c r="R8" s="242"/>
      <c r="S8" s="242"/>
      <c r="T8" s="242"/>
      <c r="U8" s="242"/>
      <c r="V8" s="242"/>
      <c r="W8" s="242"/>
      <c r="X8" s="242"/>
      <c r="Y8" s="114"/>
      <c r="Z8" s="114"/>
      <c r="AA8" s="114"/>
    </row>
    <row r="9" spans="2:27" s="112" customFormat="1" ht="11.25" customHeight="1" x14ac:dyDescent="0.2">
      <c r="B9" s="229" t="s">
        <v>9</v>
      </c>
      <c r="C9" s="229"/>
      <c r="D9" s="245" t="s">
        <v>10</v>
      </c>
      <c r="E9" s="245"/>
      <c r="F9" s="245"/>
      <c r="G9" s="245"/>
      <c r="H9" s="245"/>
      <c r="I9" s="245"/>
      <c r="J9" s="245"/>
      <c r="K9" s="114"/>
      <c r="L9" s="114"/>
      <c r="M9" s="114"/>
      <c r="N9" s="114"/>
      <c r="O9" s="114"/>
      <c r="P9" s="114"/>
      <c r="Q9" s="242" t="s">
        <v>224</v>
      </c>
      <c r="R9" s="242"/>
      <c r="S9" s="242"/>
      <c r="T9" s="242"/>
      <c r="U9" s="242"/>
      <c r="V9" s="242"/>
      <c r="W9" s="242"/>
      <c r="X9" s="242"/>
      <c r="Y9" s="114"/>
      <c r="Z9" s="114"/>
      <c r="AA9" s="114"/>
    </row>
    <row r="10" spans="2:27" s="112" customFormat="1" ht="11.25" customHeight="1" x14ac:dyDescent="0.2">
      <c r="B10" s="229" t="s">
        <v>11</v>
      </c>
      <c r="C10" s="229"/>
      <c r="D10" s="245" t="s">
        <v>192</v>
      </c>
      <c r="E10" s="245"/>
      <c r="F10" s="245"/>
      <c r="G10" s="245"/>
      <c r="H10" s="245"/>
      <c r="I10" s="245"/>
      <c r="J10" s="245"/>
      <c r="K10" s="114"/>
      <c r="L10" s="114"/>
      <c r="M10" s="114"/>
      <c r="N10" s="114"/>
      <c r="O10" s="114"/>
      <c r="P10" s="114"/>
      <c r="Q10" s="242" t="s">
        <v>188</v>
      </c>
      <c r="R10" s="242"/>
      <c r="S10" s="242"/>
      <c r="T10" s="242"/>
      <c r="U10" s="242"/>
      <c r="V10" s="242"/>
      <c r="W10" s="242"/>
      <c r="X10" s="242"/>
      <c r="Y10" s="114"/>
      <c r="Z10" s="114"/>
      <c r="AA10" s="114"/>
    </row>
    <row r="11" spans="2:27" s="112" customFormat="1" ht="11.25" customHeight="1" x14ac:dyDescent="0.2">
      <c r="B11" s="229" t="s">
        <v>12</v>
      </c>
      <c r="C11" s="229"/>
      <c r="D11" s="244" t="s">
        <v>182</v>
      </c>
      <c r="E11" s="244"/>
      <c r="F11" s="244"/>
      <c r="G11" s="244"/>
      <c r="H11" s="244"/>
      <c r="I11" s="244"/>
      <c r="J11" s="244"/>
      <c r="K11" s="114"/>
      <c r="L11" s="114"/>
      <c r="M11" s="114"/>
      <c r="N11" s="114"/>
      <c r="O11" s="114"/>
      <c r="P11" s="114"/>
      <c r="Q11" s="242"/>
      <c r="R11" s="242"/>
      <c r="S11" s="242"/>
      <c r="T11" s="242"/>
      <c r="U11" s="242"/>
      <c r="V11" s="242"/>
      <c r="W11" s="242"/>
      <c r="X11" s="242"/>
      <c r="Y11" s="114"/>
      <c r="Z11" s="114"/>
      <c r="AA11" s="114"/>
    </row>
    <row r="12" spans="2:27" s="112" customFormat="1" ht="11.25" customHeight="1" thickBot="1" x14ac:dyDescent="0.25">
      <c r="B12" s="229" t="s">
        <v>13</v>
      </c>
      <c r="C12" s="229"/>
      <c r="D12" s="244" t="s">
        <v>182</v>
      </c>
      <c r="E12" s="244"/>
      <c r="F12" s="244"/>
      <c r="G12" s="244"/>
      <c r="H12" s="244"/>
      <c r="I12" s="244"/>
      <c r="J12" s="24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</row>
    <row r="13" spans="2:27" s="112" customFormat="1" ht="11.25" customHeight="1" x14ac:dyDescent="0.2"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235"/>
      <c r="R13" s="236"/>
      <c r="S13" s="236"/>
      <c r="T13" s="236"/>
      <c r="U13" s="236"/>
      <c r="V13" s="236"/>
      <c r="W13" s="236"/>
      <c r="X13" s="237"/>
      <c r="Y13" s="114"/>
      <c r="Z13" s="114"/>
      <c r="AA13" s="114"/>
    </row>
    <row r="14" spans="2:27" s="112" customFormat="1" ht="11.25" customHeight="1" thickBot="1" x14ac:dyDescent="0.25">
      <c r="B14" s="114" t="s">
        <v>14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238"/>
      <c r="R14" s="239"/>
      <c r="S14" s="239"/>
      <c r="T14" s="239"/>
      <c r="U14" s="239"/>
      <c r="V14" s="239"/>
      <c r="W14" s="239"/>
      <c r="X14" s="240"/>
      <c r="Y14" s="114"/>
      <c r="Z14" s="114"/>
      <c r="AA14" s="114"/>
    </row>
    <row r="15" spans="2:27" s="112" customFormat="1" ht="11.25" customHeight="1" x14ac:dyDescent="0.2">
      <c r="B15" s="229" t="s">
        <v>15</v>
      </c>
      <c r="C15" s="229"/>
      <c r="D15" s="229"/>
      <c r="E15" s="229"/>
      <c r="F15" s="229"/>
      <c r="G15" s="229"/>
      <c r="H15" s="229"/>
      <c r="I15" s="229"/>
      <c r="J15" s="229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</row>
    <row r="16" spans="2:27" s="112" customFormat="1" ht="11.25" customHeight="1" x14ac:dyDescent="0.2">
      <c r="B16" s="229" t="s">
        <v>16</v>
      </c>
      <c r="C16" s="229"/>
      <c r="D16" s="229"/>
      <c r="E16" s="229"/>
      <c r="F16" s="229"/>
      <c r="G16" s="229"/>
      <c r="H16" s="229"/>
      <c r="I16" s="229"/>
      <c r="J16" s="229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</row>
    <row r="17" spans="2:27" s="112" customFormat="1" ht="11.25" customHeight="1" x14ac:dyDescent="0.2">
      <c r="B17" s="229" t="s">
        <v>190</v>
      </c>
      <c r="C17" s="229"/>
      <c r="D17" s="229"/>
      <c r="E17" s="229"/>
      <c r="F17" s="229"/>
      <c r="G17" s="229"/>
      <c r="H17" s="229"/>
      <c r="I17" s="229"/>
      <c r="J17" s="229"/>
      <c r="K17" s="114"/>
      <c r="L17" s="114" t="s">
        <v>189</v>
      </c>
      <c r="M17" s="114"/>
      <c r="N17" s="231" t="s">
        <v>250</v>
      </c>
      <c r="O17" s="232"/>
      <c r="P17" s="232"/>
      <c r="Q17" s="114"/>
      <c r="R17" s="114" t="s">
        <v>181</v>
      </c>
      <c r="S17" s="156" t="s">
        <v>251</v>
      </c>
      <c r="T17" s="114"/>
      <c r="U17" s="114"/>
      <c r="V17" s="114"/>
      <c r="W17" s="114"/>
      <c r="X17" s="114"/>
      <c r="Y17" s="114"/>
      <c r="Z17" s="114"/>
      <c r="AA17" s="114"/>
    </row>
    <row r="18" spans="2:27" s="112" customFormat="1" ht="11.25" customHeight="1" x14ac:dyDescent="0.2">
      <c r="B18" s="229"/>
      <c r="C18" s="229"/>
      <c r="D18" s="229"/>
      <c r="E18" s="229"/>
      <c r="F18" s="229"/>
      <c r="G18" s="229"/>
      <c r="H18" s="229"/>
      <c r="I18" s="229"/>
      <c r="J18" s="229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</row>
    <row r="19" spans="2:27" s="112" customFormat="1" ht="8.25" customHeight="1" x14ac:dyDescent="0.2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</row>
    <row r="20" spans="2:27" s="112" customFormat="1" ht="12.75" customHeight="1" x14ac:dyDescent="0.2">
      <c r="B20" s="229" t="s">
        <v>17</v>
      </c>
      <c r="C20" s="229"/>
      <c r="D20" s="229"/>
      <c r="E20" s="229"/>
      <c r="F20" s="229"/>
      <c r="G20" s="229"/>
      <c r="H20" s="229"/>
      <c r="I20" s="229"/>
      <c r="J20" s="229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</row>
    <row r="21" spans="2:27" s="112" customFormat="1" ht="12.75" customHeight="1" x14ac:dyDescent="0.2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</row>
    <row r="22" spans="2:27" s="112" customFormat="1" ht="15" customHeight="1" x14ac:dyDescent="0.2">
      <c r="B22" s="114" t="s">
        <v>18</v>
      </c>
      <c r="C22" s="230" t="s">
        <v>19</v>
      </c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43">
        <v>45778</v>
      </c>
      <c r="R22" s="243"/>
      <c r="S22" s="243"/>
      <c r="T22" s="229" t="s">
        <v>20</v>
      </c>
      <c r="U22" s="229"/>
      <c r="V22" s="241">
        <v>52173</v>
      </c>
      <c r="W22" s="241"/>
      <c r="X22" s="241"/>
      <c r="Y22" s="241"/>
      <c r="Z22" s="114"/>
      <c r="AA22" s="114"/>
    </row>
    <row r="23" spans="2:27" s="112" customFormat="1" ht="12.75" customHeight="1" x14ac:dyDescent="0.2">
      <c r="B23" s="114"/>
      <c r="C23" s="114" t="s">
        <v>21</v>
      </c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</row>
    <row r="24" spans="2:27" s="112" customFormat="1" ht="9" customHeight="1" x14ac:dyDescent="0.2"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</row>
    <row r="25" spans="2:27" s="112" customFormat="1" ht="12.75" customHeight="1" x14ac:dyDescent="0.2">
      <c r="B25" s="114" t="s">
        <v>22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</row>
    <row r="26" spans="2:27" s="112" customFormat="1" ht="7.5" customHeight="1" x14ac:dyDescent="0.2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</row>
    <row r="27" spans="2:27" s="112" customFormat="1" ht="12.75" customHeight="1" thickBot="1" x14ac:dyDescent="0.25">
      <c r="B27" s="114" t="s">
        <v>23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</row>
    <row r="28" spans="2:27" s="112" customFormat="1" ht="12.95" customHeight="1" thickBot="1" x14ac:dyDescent="0.25">
      <c r="B28" s="203" t="s">
        <v>24</v>
      </c>
      <c r="C28" s="205" t="s">
        <v>25</v>
      </c>
      <c r="D28" s="205"/>
      <c r="E28" s="205"/>
      <c r="F28" s="205"/>
      <c r="G28" s="205"/>
      <c r="H28" s="205"/>
      <c r="I28" s="205" t="s">
        <v>26</v>
      </c>
      <c r="J28" s="205"/>
      <c r="K28" s="300" t="s">
        <v>27</v>
      </c>
      <c r="L28" s="300"/>
      <c r="M28" s="300"/>
      <c r="N28" s="300"/>
      <c r="O28" s="300"/>
      <c r="P28" s="205" t="s">
        <v>28</v>
      </c>
      <c r="Q28" s="205"/>
      <c r="R28" s="205"/>
      <c r="S28" s="205"/>
      <c r="T28" s="205"/>
      <c r="U28" s="205"/>
      <c r="V28" s="301" t="s">
        <v>183</v>
      </c>
      <c r="W28" s="301"/>
      <c r="X28" s="301"/>
      <c r="Y28" s="302"/>
      <c r="Z28" s="114"/>
      <c r="AA28" s="114"/>
    </row>
    <row r="29" spans="2:27" s="112" customFormat="1" ht="15" customHeight="1" thickTop="1" x14ac:dyDescent="0.2">
      <c r="B29" s="204"/>
      <c r="C29" s="206"/>
      <c r="D29" s="206"/>
      <c r="E29" s="206"/>
      <c r="F29" s="206"/>
      <c r="G29" s="206"/>
      <c r="H29" s="206"/>
      <c r="I29" s="206"/>
      <c r="J29" s="206"/>
      <c r="K29" s="248"/>
      <c r="L29" s="248"/>
      <c r="M29" s="248"/>
      <c r="N29" s="248"/>
      <c r="O29" s="248"/>
      <c r="P29" s="206" t="s">
        <v>29</v>
      </c>
      <c r="Q29" s="206"/>
      <c r="R29" s="206"/>
      <c r="S29" s="206" t="s">
        <v>30</v>
      </c>
      <c r="T29" s="206"/>
      <c r="U29" s="206"/>
      <c r="V29" s="303"/>
      <c r="W29" s="303"/>
      <c r="X29" s="303"/>
      <c r="Y29" s="304"/>
      <c r="Z29" s="114"/>
      <c r="AA29" s="114"/>
    </row>
    <row r="30" spans="2:27" s="112" customFormat="1" ht="14.25" customHeight="1" x14ac:dyDescent="0.2">
      <c r="B30" s="136">
        <v>1</v>
      </c>
      <c r="C30" s="191" t="s">
        <v>182</v>
      </c>
      <c r="D30" s="192"/>
      <c r="E30" s="192"/>
      <c r="F30" s="192"/>
      <c r="G30" s="192"/>
      <c r="H30" s="193"/>
      <c r="I30" s="194"/>
      <c r="J30" s="195"/>
      <c r="K30" s="207" t="s">
        <v>225</v>
      </c>
      <c r="L30" s="208"/>
      <c r="M30" s="208"/>
      <c r="N30" s="208"/>
      <c r="O30" s="209"/>
      <c r="P30" s="196">
        <v>45785</v>
      </c>
      <c r="Q30" s="197"/>
      <c r="R30" s="198"/>
      <c r="S30" s="196">
        <v>45785</v>
      </c>
      <c r="T30" s="197"/>
      <c r="U30" s="198"/>
      <c r="V30" s="210" t="s">
        <v>182</v>
      </c>
      <c r="W30" s="210"/>
      <c r="X30" s="210"/>
      <c r="Y30" s="210"/>
      <c r="Z30" s="114"/>
      <c r="AA30" s="114"/>
    </row>
    <row r="31" spans="2:27" s="112" customFormat="1" ht="12.95" customHeight="1" x14ac:dyDescent="0.2">
      <c r="B31" s="136">
        <v>2</v>
      </c>
      <c r="C31" s="191" t="s">
        <v>182</v>
      </c>
      <c r="D31" s="192"/>
      <c r="E31" s="192"/>
      <c r="F31" s="192"/>
      <c r="G31" s="192"/>
      <c r="H31" s="193"/>
      <c r="I31" s="194"/>
      <c r="J31" s="195"/>
      <c r="K31" s="207" t="s">
        <v>207</v>
      </c>
      <c r="L31" s="208"/>
      <c r="M31" s="208"/>
      <c r="N31" s="208"/>
      <c r="O31" s="209"/>
      <c r="P31" s="196">
        <v>45786</v>
      </c>
      <c r="Q31" s="197"/>
      <c r="R31" s="198"/>
      <c r="S31" s="196">
        <v>45786</v>
      </c>
      <c r="T31" s="197"/>
      <c r="U31" s="198"/>
      <c r="V31" s="210" t="s">
        <v>182</v>
      </c>
      <c r="W31" s="210"/>
      <c r="X31" s="210"/>
      <c r="Y31" s="210"/>
      <c r="Z31" s="114"/>
      <c r="AA31" s="114"/>
    </row>
    <row r="32" spans="2:27" s="112" customFormat="1" ht="12.6" customHeight="1" x14ac:dyDescent="0.2">
      <c r="B32" s="136">
        <v>3</v>
      </c>
      <c r="C32" s="191" t="s">
        <v>226</v>
      </c>
      <c r="D32" s="192"/>
      <c r="E32" s="192"/>
      <c r="F32" s="192"/>
      <c r="G32" s="192"/>
      <c r="H32" s="193"/>
      <c r="I32" s="194">
        <v>13391</v>
      </c>
      <c r="J32" s="195"/>
      <c r="K32" s="207" t="s">
        <v>205</v>
      </c>
      <c r="L32" s="208"/>
      <c r="M32" s="208"/>
      <c r="N32" s="208"/>
      <c r="O32" s="209"/>
      <c r="P32" s="196">
        <v>45789</v>
      </c>
      <c r="Q32" s="197"/>
      <c r="R32" s="198"/>
      <c r="S32" s="180">
        <v>45791</v>
      </c>
      <c r="T32" s="181"/>
      <c r="U32" s="182"/>
      <c r="V32" s="210" t="s">
        <v>182</v>
      </c>
      <c r="W32" s="210"/>
      <c r="X32" s="210"/>
      <c r="Y32" s="210"/>
      <c r="Z32" s="114"/>
      <c r="AA32" s="114"/>
    </row>
    <row r="33" spans="2:27" s="112" customFormat="1" ht="11.25" customHeight="1" x14ac:dyDescent="0.2">
      <c r="B33" s="136">
        <v>4</v>
      </c>
      <c r="C33" s="191" t="s">
        <v>227</v>
      </c>
      <c r="D33" s="192"/>
      <c r="E33" s="192"/>
      <c r="F33" s="192"/>
      <c r="G33" s="192"/>
      <c r="H33" s="193"/>
      <c r="I33" s="194">
        <v>13375</v>
      </c>
      <c r="J33" s="195"/>
      <c r="K33" s="211" t="s">
        <v>205</v>
      </c>
      <c r="L33" s="212"/>
      <c r="M33" s="212"/>
      <c r="N33" s="212"/>
      <c r="O33" s="213"/>
      <c r="P33" s="196">
        <v>45792</v>
      </c>
      <c r="Q33" s="197"/>
      <c r="R33" s="198"/>
      <c r="S33" s="196">
        <v>45792</v>
      </c>
      <c r="T33" s="197"/>
      <c r="U33" s="198"/>
      <c r="V33" s="210" t="s">
        <v>182</v>
      </c>
      <c r="W33" s="210"/>
      <c r="X33" s="210"/>
      <c r="Y33" s="210"/>
      <c r="Z33" s="114"/>
      <c r="AA33" s="114"/>
    </row>
    <row r="34" spans="2:27" s="112" customFormat="1" ht="11.25" customHeight="1" x14ac:dyDescent="0.2">
      <c r="B34" s="136">
        <v>5</v>
      </c>
      <c r="C34" s="191" t="s">
        <v>182</v>
      </c>
      <c r="D34" s="192"/>
      <c r="E34" s="192"/>
      <c r="F34" s="192"/>
      <c r="G34" s="192"/>
      <c r="H34" s="193"/>
      <c r="I34" s="194"/>
      <c r="J34" s="195"/>
      <c r="K34" s="211" t="s">
        <v>207</v>
      </c>
      <c r="L34" s="212"/>
      <c r="M34" s="212"/>
      <c r="N34" s="212"/>
      <c r="O34" s="213"/>
      <c r="P34" s="196">
        <v>45793</v>
      </c>
      <c r="Q34" s="197"/>
      <c r="R34" s="198"/>
      <c r="S34" s="196">
        <v>45794</v>
      </c>
      <c r="T34" s="197"/>
      <c r="U34" s="198"/>
      <c r="V34" s="210" t="s">
        <v>182</v>
      </c>
      <c r="W34" s="210"/>
      <c r="X34" s="210"/>
      <c r="Y34" s="210"/>
      <c r="Z34" s="114"/>
      <c r="AA34" s="114"/>
    </row>
    <row r="35" spans="2:27" s="112" customFormat="1" ht="11.25" customHeight="1" x14ac:dyDescent="0.2">
      <c r="B35" s="136">
        <v>6</v>
      </c>
      <c r="C35" s="191" t="s">
        <v>228</v>
      </c>
      <c r="D35" s="192"/>
      <c r="E35" s="192"/>
      <c r="F35" s="192"/>
      <c r="G35" s="192"/>
      <c r="H35" s="193"/>
      <c r="I35" s="194">
        <v>601</v>
      </c>
      <c r="J35" s="195"/>
      <c r="K35" s="211" t="s">
        <v>229</v>
      </c>
      <c r="L35" s="212"/>
      <c r="M35" s="212"/>
      <c r="N35" s="212"/>
      <c r="O35" s="213"/>
      <c r="P35" s="196">
        <v>45796</v>
      </c>
      <c r="Q35" s="197"/>
      <c r="R35" s="198"/>
      <c r="S35" s="196">
        <v>45799</v>
      </c>
      <c r="T35" s="197"/>
      <c r="U35" s="198"/>
      <c r="V35" s="210" t="s">
        <v>182</v>
      </c>
      <c r="W35" s="210"/>
      <c r="X35" s="210"/>
      <c r="Y35" s="210"/>
      <c r="Z35" s="114"/>
      <c r="AA35" s="114"/>
    </row>
    <row r="36" spans="2:27" s="112" customFormat="1" ht="11.25" customHeight="1" x14ac:dyDescent="0.2">
      <c r="B36" s="136">
        <v>7</v>
      </c>
      <c r="C36" s="191" t="s">
        <v>182</v>
      </c>
      <c r="D36" s="192"/>
      <c r="E36" s="192"/>
      <c r="F36" s="192"/>
      <c r="G36" s="192"/>
      <c r="H36" s="193"/>
      <c r="I36" s="194"/>
      <c r="J36" s="195"/>
      <c r="K36" s="211" t="s">
        <v>207</v>
      </c>
      <c r="L36" s="212"/>
      <c r="M36" s="212"/>
      <c r="N36" s="212"/>
      <c r="O36" s="213"/>
      <c r="P36" s="196">
        <v>45800</v>
      </c>
      <c r="Q36" s="197"/>
      <c r="R36" s="198"/>
      <c r="S36" s="196">
        <v>45800</v>
      </c>
      <c r="T36" s="197"/>
      <c r="U36" s="198"/>
      <c r="V36" s="210" t="s">
        <v>182</v>
      </c>
      <c r="W36" s="210"/>
      <c r="X36" s="210"/>
      <c r="Y36" s="210"/>
      <c r="Z36" s="114"/>
      <c r="AA36" s="114"/>
    </row>
    <row r="37" spans="2:27" s="112" customFormat="1" ht="11.25" customHeight="1" x14ac:dyDescent="0.2">
      <c r="B37" s="136">
        <v>8</v>
      </c>
      <c r="C37" s="191" t="s">
        <v>208</v>
      </c>
      <c r="D37" s="192"/>
      <c r="E37" s="192"/>
      <c r="F37" s="192"/>
      <c r="G37" s="192"/>
      <c r="H37" s="193"/>
      <c r="I37" s="194">
        <v>6801</v>
      </c>
      <c r="J37" s="195"/>
      <c r="K37" s="211" t="s">
        <v>197</v>
      </c>
      <c r="L37" s="212"/>
      <c r="M37" s="212"/>
      <c r="N37" s="212"/>
      <c r="O37" s="213"/>
      <c r="P37" s="196">
        <v>45803</v>
      </c>
      <c r="Q37" s="197"/>
      <c r="R37" s="198"/>
      <c r="S37" s="196">
        <v>45805</v>
      </c>
      <c r="T37" s="197"/>
      <c r="U37" s="198"/>
      <c r="V37" s="211" t="s">
        <v>182</v>
      </c>
      <c r="W37" s="212"/>
      <c r="X37" s="212"/>
      <c r="Y37" s="213"/>
      <c r="Z37" s="114"/>
      <c r="AA37" s="114"/>
    </row>
    <row r="38" spans="2:27" s="112" customFormat="1" ht="11.25" customHeight="1" x14ac:dyDescent="0.2">
      <c r="B38" s="136">
        <v>9</v>
      </c>
      <c r="C38" s="191" t="s">
        <v>209</v>
      </c>
      <c r="D38" s="192"/>
      <c r="E38" s="192"/>
      <c r="F38" s="192"/>
      <c r="G38" s="192"/>
      <c r="H38" s="193"/>
      <c r="I38" s="194">
        <v>13731</v>
      </c>
      <c r="J38" s="195"/>
      <c r="K38" s="211" t="s">
        <v>197</v>
      </c>
      <c r="L38" s="212"/>
      <c r="M38" s="212"/>
      <c r="N38" s="212"/>
      <c r="O38" s="213"/>
      <c r="P38" s="196">
        <v>45806</v>
      </c>
      <c r="Q38" s="197"/>
      <c r="R38" s="198"/>
      <c r="S38" s="196">
        <v>45808</v>
      </c>
      <c r="T38" s="197"/>
      <c r="U38" s="198"/>
      <c r="V38" s="211" t="s">
        <v>182</v>
      </c>
      <c r="W38" s="212"/>
      <c r="X38" s="212"/>
      <c r="Y38" s="213"/>
      <c r="Z38" s="114"/>
      <c r="AA38" s="114"/>
    </row>
    <row r="39" spans="2:27" s="112" customFormat="1" ht="11.25" customHeight="1" x14ac:dyDescent="0.2">
      <c r="B39" s="136"/>
      <c r="C39" s="191"/>
      <c r="D39" s="192"/>
      <c r="E39" s="192"/>
      <c r="F39" s="192"/>
      <c r="G39" s="192"/>
      <c r="H39" s="193"/>
      <c r="I39" s="202"/>
      <c r="J39" s="202"/>
      <c r="K39" s="210"/>
      <c r="L39" s="210"/>
      <c r="M39" s="210"/>
      <c r="N39" s="210"/>
      <c r="O39" s="210"/>
      <c r="P39" s="186"/>
      <c r="Q39" s="186"/>
      <c r="R39" s="186"/>
      <c r="S39" s="186"/>
      <c r="T39" s="186"/>
      <c r="U39" s="186"/>
      <c r="V39" s="210"/>
      <c r="W39" s="210"/>
      <c r="X39" s="210"/>
      <c r="Y39" s="210"/>
      <c r="Z39" s="114"/>
      <c r="AA39" s="114"/>
    </row>
    <row r="40" spans="2:27" s="112" customFormat="1" ht="11.25" customHeight="1" x14ac:dyDescent="0.2">
      <c r="B40" s="136"/>
      <c r="C40" s="191"/>
      <c r="D40" s="192"/>
      <c r="E40" s="192"/>
      <c r="F40" s="192"/>
      <c r="G40" s="192"/>
      <c r="H40" s="193"/>
      <c r="I40" s="202"/>
      <c r="J40" s="202"/>
      <c r="K40" s="210"/>
      <c r="L40" s="210"/>
      <c r="M40" s="210"/>
      <c r="N40" s="210"/>
      <c r="O40" s="210"/>
      <c r="P40" s="186"/>
      <c r="Q40" s="186"/>
      <c r="R40" s="186"/>
      <c r="S40" s="186"/>
      <c r="T40" s="186"/>
      <c r="U40" s="186"/>
      <c r="V40" s="210"/>
      <c r="W40" s="210"/>
      <c r="X40" s="210"/>
      <c r="Y40" s="210"/>
      <c r="Z40" s="114"/>
      <c r="AA40" s="114"/>
    </row>
    <row r="41" spans="2:27" s="112" customFormat="1" ht="11.25" customHeight="1" x14ac:dyDescent="0.2">
      <c r="B41" s="136"/>
      <c r="C41" s="202"/>
      <c r="D41" s="202"/>
      <c r="E41" s="202"/>
      <c r="F41" s="202"/>
      <c r="G41" s="202"/>
      <c r="H41" s="202"/>
      <c r="I41" s="202"/>
      <c r="J41" s="202"/>
      <c r="K41" s="214"/>
      <c r="L41" s="214"/>
      <c r="M41" s="214"/>
      <c r="N41" s="214"/>
      <c r="O41" s="214"/>
      <c r="P41" s="186"/>
      <c r="Q41" s="186"/>
      <c r="R41" s="186"/>
      <c r="S41" s="186"/>
      <c r="T41" s="186"/>
      <c r="U41" s="186"/>
      <c r="V41" s="210"/>
      <c r="W41" s="210"/>
      <c r="X41" s="210"/>
      <c r="Y41" s="173"/>
      <c r="Z41" s="114"/>
      <c r="AA41" s="114"/>
    </row>
    <row r="42" spans="2:27" s="112" customFormat="1" ht="11.25" customHeight="1" x14ac:dyDescent="0.2">
      <c r="B42" s="136"/>
      <c r="C42" s="202"/>
      <c r="D42" s="202"/>
      <c r="E42" s="202"/>
      <c r="F42" s="202"/>
      <c r="G42" s="202"/>
      <c r="H42" s="202"/>
      <c r="I42" s="202"/>
      <c r="J42" s="202"/>
      <c r="K42" s="214"/>
      <c r="L42" s="214"/>
      <c r="M42" s="214"/>
      <c r="N42" s="214"/>
      <c r="O42" s="214"/>
      <c r="P42" s="186"/>
      <c r="Q42" s="186"/>
      <c r="R42" s="186"/>
      <c r="S42" s="186"/>
      <c r="T42" s="186"/>
      <c r="U42" s="186"/>
      <c r="V42" s="210"/>
      <c r="W42" s="210"/>
      <c r="X42" s="210"/>
      <c r="Y42" s="173"/>
      <c r="Z42" s="114"/>
      <c r="AA42" s="114"/>
    </row>
    <row r="43" spans="2:27" s="112" customFormat="1" ht="12.75" customHeight="1" x14ac:dyDescent="0.2">
      <c r="B43" s="116" t="s">
        <v>167</v>
      </c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8" t="s">
        <v>94</v>
      </c>
      <c r="Q43" s="119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 spans="2:27" s="112" customFormat="1" ht="11.25" customHeight="1" x14ac:dyDescent="0.2">
      <c r="B44" s="247" t="s">
        <v>24</v>
      </c>
      <c r="C44" s="222" t="s">
        <v>25</v>
      </c>
      <c r="D44" s="222"/>
      <c r="E44" s="222"/>
      <c r="F44" s="222"/>
      <c r="G44" s="222"/>
      <c r="H44" s="222"/>
      <c r="I44" s="222" t="s">
        <v>26</v>
      </c>
      <c r="J44" s="222"/>
      <c r="K44" s="222" t="s">
        <v>28</v>
      </c>
      <c r="L44" s="222"/>
      <c r="M44" s="222"/>
      <c r="N44" s="222"/>
      <c r="O44" s="222"/>
      <c r="P44" s="222"/>
      <c r="Q44" s="222" t="s">
        <v>32</v>
      </c>
      <c r="R44" s="222"/>
      <c r="S44" s="222"/>
      <c r="T44" s="222"/>
      <c r="U44" s="222" t="s">
        <v>33</v>
      </c>
      <c r="V44" s="222"/>
      <c r="W44" s="222"/>
      <c r="X44" s="222"/>
      <c r="Y44" s="222"/>
      <c r="Z44" s="116"/>
      <c r="AA44" s="116"/>
    </row>
    <row r="45" spans="2:27" s="112" customFormat="1" ht="12.75" customHeight="1" thickBot="1" x14ac:dyDescent="0.25">
      <c r="B45" s="248"/>
      <c r="C45" s="206"/>
      <c r="D45" s="206"/>
      <c r="E45" s="206"/>
      <c r="F45" s="206"/>
      <c r="G45" s="206"/>
      <c r="H45" s="206"/>
      <c r="I45" s="206"/>
      <c r="J45" s="206"/>
      <c r="K45" s="206" t="s">
        <v>29</v>
      </c>
      <c r="L45" s="206"/>
      <c r="M45" s="206"/>
      <c r="N45" s="206" t="s">
        <v>30</v>
      </c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116"/>
      <c r="AA45" s="116"/>
    </row>
    <row r="46" spans="2:27" s="112" customFormat="1" ht="12.75" customHeight="1" thickBot="1" x14ac:dyDescent="0.25">
      <c r="B46" s="203" t="s">
        <v>24</v>
      </c>
      <c r="C46" s="205" t="s">
        <v>25</v>
      </c>
      <c r="D46" s="205"/>
      <c r="E46" s="205"/>
      <c r="F46" s="205"/>
      <c r="G46" s="205"/>
      <c r="H46" s="205"/>
      <c r="I46" s="205" t="s">
        <v>26</v>
      </c>
      <c r="J46" s="205"/>
      <c r="K46" s="196"/>
      <c r="L46" s="197"/>
      <c r="M46" s="198"/>
      <c r="N46" s="196"/>
      <c r="O46" s="197"/>
      <c r="P46" s="198"/>
      <c r="Q46" s="223"/>
      <c r="R46" s="224"/>
      <c r="S46" s="154"/>
      <c r="T46" s="154"/>
      <c r="U46" s="201"/>
      <c r="V46" s="201"/>
      <c r="W46" s="201"/>
      <c r="X46" s="201"/>
      <c r="Y46" s="201"/>
      <c r="Z46" s="116"/>
      <c r="AA46" s="116"/>
    </row>
    <row r="47" spans="2:27" s="112" customFormat="1" ht="12.75" customHeight="1" thickTop="1" x14ac:dyDescent="0.2">
      <c r="B47" s="204"/>
      <c r="C47" s="206"/>
      <c r="D47" s="206"/>
      <c r="E47" s="206"/>
      <c r="F47" s="206"/>
      <c r="G47" s="206"/>
      <c r="H47" s="206"/>
      <c r="I47" s="206"/>
      <c r="J47" s="206"/>
      <c r="K47" s="196"/>
      <c r="L47" s="197"/>
      <c r="M47" s="198"/>
      <c r="N47" s="196"/>
      <c r="O47" s="197"/>
      <c r="P47" s="198"/>
      <c r="Q47" s="223"/>
      <c r="R47" s="224"/>
      <c r="S47" s="154"/>
      <c r="T47" s="154"/>
      <c r="U47" s="201"/>
      <c r="V47" s="201"/>
      <c r="W47" s="201"/>
      <c r="X47" s="201"/>
      <c r="Y47" s="201"/>
      <c r="Z47" s="116"/>
      <c r="AA47" s="116"/>
    </row>
    <row r="48" spans="2:27" s="112" customFormat="1" ht="12.75" customHeight="1" x14ac:dyDescent="0.2">
      <c r="B48" s="136">
        <v>1</v>
      </c>
      <c r="C48" s="191" t="s">
        <v>182</v>
      </c>
      <c r="D48" s="192"/>
      <c r="E48" s="192"/>
      <c r="F48" s="192"/>
      <c r="G48" s="192"/>
      <c r="H48" s="193"/>
      <c r="I48" s="194"/>
      <c r="J48" s="195"/>
      <c r="K48" s="196">
        <v>45785</v>
      </c>
      <c r="L48" s="197"/>
      <c r="M48" s="198"/>
      <c r="N48" s="196">
        <v>45785</v>
      </c>
      <c r="O48" s="197"/>
      <c r="P48" s="198"/>
      <c r="Q48" s="215">
        <v>1</v>
      </c>
      <c r="R48" s="215"/>
      <c r="S48" s="154" t="s">
        <v>191</v>
      </c>
      <c r="T48" s="154"/>
      <c r="U48" s="201">
        <v>8</v>
      </c>
      <c r="V48" s="201"/>
      <c r="W48" s="201"/>
      <c r="X48" s="201"/>
      <c r="Y48" s="201"/>
      <c r="Z48" s="116"/>
      <c r="AA48" s="116"/>
    </row>
    <row r="49" spans="2:27" s="112" customFormat="1" ht="12.75" customHeight="1" x14ac:dyDescent="0.2">
      <c r="B49" s="136">
        <v>2</v>
      </c>
      <c r="C49" s="191" t="s">
        <v>182</v>
      </c>
      <c r="D49" s="192"/>
      <c r="E49" s="192"/>
      <c r="F49" s="192"/>
      <c r="G49" s="192"/>
      <c r="H49" s="193"/>
      <c r="I49" s="194"/>
      <c r="J49" s="195"/>
      <c r="K49" s="196">
        <v>45786</v>
      </c>
      <c r="L49" s="197"/>
      <c r="M49" s="198"/>
      <c r="N49" s="196">
        <v>45786</v>
      </c>
      <c r="O49" s="197"/>
      <c r="P49" s="198"/>
      <c r="Q49" s="199">
        <v>1</v>
      </c>
      <c r="R49" s="200"/>
      <c r="S49" s="154" t="s">
        <v>191</v>
      </c>
      <c r="T49" s="154"/>
      <c r="U49" s="191">
        <v>9</v>
      </c>
      <c r="V49" s="192"/>
      <c r="W49" s="192"/>
      <c r="X49" s="192"/>
      <c r="Y49" s="193"/>
      <c r="Z49" s="116"/>
      <c r="AA49" s="116"/>
    </row>
    <row r="50" spans="2:27" s="112" customFormat="1" ht="12.75" customHeight="1" x14ac:dyDescent="0.2">
      <c r="B50" s="136">
        <v>2</v>
      </c>
      <c r="C50" s="191" t="s">
        <v>226</v>
      </c>
      <c r="D50" s="192"/>
      <c r="E50" s="192"/>
      <c r="F50" s="192"/>
      <c r="G50" s="192"/>
      <c r="H50" s="193"/>
      <c r="I50" s="194">
        <v>13391</v>
      </c>
      <c r="J50" s="195"/>
      <c r="K50" s="196">
        <v>45789</v>
      </c>
      <c r="L50" s="197"/>
      <c r="M50" s="198"/>
      <c r="N50" s="196">
        <v>45791</v>
      </c>
      <c r="O50" s="197"/>
      <c r="P50" s="198"/>
      <c r="Q50" s="215">
        <v>3</v>
      </c>
      <c r="R50" s="215"/>
      <c r="S50" s="154" t="s">
        <v>191</v>
      </c>
      <c r="T50" s="154"/>
      <c r="U50" s="201" t="s">
        <v>230</v>
      </c>
      <c r="V50" s="201"/>
      <c r="W50" s="201"/>
      <c r="X50" s="201"/>
      <c r="Y50" s="201"/>
      <c r="Z50" s="116"/>
      <c r="AA50" s="116"/>
    </row>
    <row r="51" spans="2:27" s="112" customFormat="1" ht="12.75" customHeight="1" x14ac:dyDescent="0.2">
      <c r="B51" s="136">
        <v>3</v>
      </c>
      <c r="C51" s="191" t="s">
        <v>227</v>
      </c>
      <c r="D51" s="192"/>
      <c r="E51" s="192"/>
      <c r="F51" s="192"/>
      <c r="G51" s="192"/>
      <c r="H51" s="193"/>
      <c r="I51" s="194">
        <v>13375</v>
      </c>
      <c r="J51" s="195"/>
      <c r="K51" s="196">
        <v>45792</v>
      </c>
      <c r="L51" s="197"/>
      <c r="M51" s="198"/>
      <c r="N51" s="196">
        <v>45792</v>
      </c>
      <c r="O51" s="197"/>
      <c r="P51" s="198"/>
      <c r="Q51" s="215">
        <v>1</v>
      </c>
      <c r="R51" s="215"/>
      <c r="S51" s="154" t="s">
        <v>191</v>
      </c>
      <c r="T51" s="154"/>
      <c r="U51" s="201">
        <v>15</v>
      </c>
      <c r="V51" s="201"/>
      <c r="W51" s="201"/>
      <c r="X51" s="201"/>
      <c r="Y51" s="201"/>
      <c r="Z51" s="116"/>
      <c r="AA51" s="116"/>
    </row>
    <row r="52" spans="2:27" s="112" customFormat="1" ht="12.75" customHeight="1" x14ac:dyDescent="0.2">
      <c r="B52" s="136">
        <v>4</v>
      </c>
      <c r="C52" s="191" t="s">
        <v>182</v>
      </c>
      <c r="D52" s="192"/>
      <c r="E52" s="192"/>
      <c r="F52" s="192"/>
      <c r="G52" s="192"/>
      <c r="H52" s="193"/>
      <c r="I52" s="194"/>
      <c r="J52" s="195"/>
      <c r="K52" s="196">
        <v>45793</v>
      </c>
      <c r="L52" s="197"/>
      <c r="M52" s="198"/>
      <c r="N52" s="196">
        <v>45794</v>
      </c>
      <c r="O52" s="197"/>
      <c r="P52" s="198"/>
      <c r="Q52" s="215">
        <v>2</v>
      </c>
      <c r="R52" s="215"/>
      <c r="S52" s="154" t="s">
        <v>191</v>
      </c>
      <c r="T52" s="154"/>
      <c r="U52" s="201" t="s">
        <v>231</v>
      </c>
      <c r="V52" s="201"/>
      <c r="W52" s="201"/>
      <c r="X52" s="201"/>
      <c r="Y52" s="201"/>
      <c r="Z52" s="116"/>
      <c r="AA52" s="116"/>
    </row>
    <row r="53" spans="2:27" s="5" customFormat="1" ht="12" customHeight="1" x14ac:dyDescent="0.2">
      <c r="B53" s="136">
        <v>5</v>
      </c>
      <c r="C53" s="191" t="s">
        <v>228</v>
      </c>
      <c r="D53" s="192"/>
      <c r="E53" s="192"/>
      <c r="F53" s="192"/>
      <c r="G53" s="192"/>
      <c r="H53" s="193"/>
      <c r="I53" s="194">
        <v>601</v>
      </c>
      <c r="J53" s="195"/>
      <c r="K53" s="196">
        <v>45796</v>
      </c>
      <c r="L53" s="197"/>
      <c r="M53" s="198"/>
      <c r="N53" s="196">
        <v>45799</v>
      </c>
      <c r="O53" s="197"/>
      <c r="P53" s="198"/>
      <c r="Q53" s="215">
        <v>4</v>
      </c>
      <c r="R53" s="215"/>
      <c r="S53" s="154" t="s">
        <v>191</v>
      </c>
      <c r="T53" s="154"/>
      <c r="U53" s="226" t="s">
        <v>232</v>
      </c>
      <c r="V53" s="226"/>
      <c r="W53" s="226"/>
      <c r="X53" s="226"/>
      <c r="Y53" s="226"/>
      <c r="Z53" s="120"/>
      <c r="AA53" s="120"/>
    </row>
    <row r="54" spans="2:27" s="5" customFormat="1" ht="12.75" customHeight="1" x14ac:dyDescent="0.2">
      <c r="B54" s="136">
        <v>6</v>
      </c>
      <c r="C54" s="191" t="s">
        <v>182</v>
      </c>
      <c r="D54" s="192"/>
      <c r="E54" s="192"/>
      <c r="F54" s="192"/>
      <c r="G54" s="192"/>
      <c r="H54" s="193"/>
      <c r="I54" s="194"/>
      <c r="J54" s="195"/>
      <c r="K54" s="196">
        <v>45800</v>
      </c>
      <c r="L54" s="197"/>
      <c r="M54" s="198"/>
      <c r="N54" s="196">
        <v>45800</v>
      </c>
      <c r="O54" s="197"/>
      <c r="P54" s="198"/>
      <c r="Q54" s="215">
        <v>1</v>
      </c>
      <c r="R54" s="215"/>
      <c r="S54" s="154" t="s">
        <v>191</v>
      </c>
      <c r="T54" s="154"/>
      <c r="U54" s="226">
        <v>23</v>
      </c>
      <c r="V54" s="226"/>
      <c r="W54" s="226"/>
      <c r="X54" s="226"/>
      <c r="Y54" s="226"/>
      <c r="Z54" s="120"/>
      <c r="AA54" s="120"/>
    </row>
    <row r="55" spans="2:27" s="5" customFormat="1" ht="12.75" customHeight="1" x14ac:dyDescent="0.2">
      <c r="B55" s="136">
        <v>7</v>
      </c>
      <c r="C55" s="191" t="s">
        <v>208</v>
      </c>
      <c r="D55" s="192"/>
      <c r="E55" s="192"/>
      <c r="F55" s="192"/>
      <c r="G55" s="192"/>
      <c r="H55" s="193"/>
      <c r="I55" s="194">
        <v>6801</v>
      </c>
      <c r="J55" s="195"/>
      <c r="K55" s="196">
        <v>45803</v>
      </c>
      <c r="L55" s="197"/>
      <c r="M55" s="198"/>
      <c r="N55" s="196">
        <v>45805</v>
      </c>
      <c r="O55" s="197"/>
      <c r="P55" s="198"/>
      <c r="Q55" s="215">
        <v>3</v>
      </c>
      <c r="R55" s="215"/>
      <c r="S55" s="154" t="s">
        <v>191</v>
      </c>
      <c r="T55" s="154"/>
      <c r="U55" s="226" t="s">
        <v>233</v>
      </c>
      <c r="V55" s="226"/>
      <c r="W55" s="226"/>
      <c r="X55" s="226"/>
      <c r="Y55" s="226"/>
      <c r="Z55" s="120"/>
      <c r="AA55" s="120"/>
    </row>
    <row r="56" spans="2:27" s="5" customFormat="1" ht="12.75" customHeight="1" x14ac:dyDescent="0.2">
      <c r="B56" s="136">
        <v>8</v>
      </c>
      <c r="C56" s="191" t="s">
        <v>209</v>
      </c>
      <c r="D56" s="192"/>
      <c r="E56" s="192"/>
      <c r="F56" s="192"/>
      <c r="G56" s="192"/>
      <c r="H56" s="193"/>
      <c r="I56" s="194">
        <v>13731</v>
      </c>
      <c r="J56" s="195"/>
      <c r="K56" s="196">
        <v>45806</v>
      </c>
      <c r="L56" s="197"/>
      <c r="M56" s="198"/>
      <c r="N56" s="196">
        <v>45808</v>
      </c>
      <c r="O56" s="197"/>
      <c r="P56" s="198"/>
      <c r="Q56" s="215">
        <v>3</v>
      </c>
      <c r="R56" s="215"/>
      <c r="S56" s="154" t="s">
        <v>191</v>
      </c>
      <c r="T56" s="154"/>
      <c r="U56" s="226" t="s">
        <v>234</v>
      </c>
      <c r="V56" s="226"/>
      <c r="W56" s="226"/>
      <c r="X56" s="226"/>
      <c r="Y56" s="226"/>
      <c r="Z56" s="120"/>
      <c r="AA56" s="120"/>
    </row>
    <row r="57" spans="2:27" s="5" customFormat="1" ht="12.75" customHeight="1" x14ac:dyDescent="0.2">
      <c r="B57" s="136"/>
      <c r="C57" s="201"/>
      <c r="D57" s="201"/>
      <c r="E57" s="201"/>
      <c r="F57" s="201"/>
      <c r="G57" s="201"/>
      <c r="H57" s="201"/>
      <c r="I57" s="202"/>
      <c r="J57" s="202"/>
      <c r="K57" s="186"/>
      <c r="L57" s="186"/>
      <c r="M57" s="186"/>
      <c r="N57" s="186"/>
      <c r="O57" s="186"/>
      <c r="P57" s="186"/>
      <c r="Q57" s="215"/>
      <c r="R57" s="215"/>
      <c r="S57" s="154"/>
      <c r="T57" s="154"/>
      <c r="U57" s="226"/>
      <c r="V57" s="226"/>
      <c r="W57" s="226"/>
      <c r="X57" s="226"/>
      <c r="Y57" s="226"/>
      <c r="Z57" s="120"/>
      <c r="AA57" s="120"/>
    </row>
    <row r="58" spans="2:27" s="5" customFormat="1" ht="12.75" customHeight="1" x14ac:dyDescent="0.2">
      <c r="B58" s="136"/>
      <c r="C58" s="201"/>
      <c r="D58" s="201"/>
      <c r="E58" s="201"/>
      <c r="F58" s="201"/>
      <c r="G58" s="201"/>
      <c r="H58" s="201"/>
      <c r="I58" s="202"/>
      <c r="J58" s="202"/>
      <c r="K58" s="186"/>
      <c r="L58" s="186"/>
      <c r="M58" s="186"/>
      <c r="N58" s="186"/>
      <c r="O58" s="186"/>
      <c r="P58" s="186"/>
      <c r="Q58" s="309"/>
      <c r="R58" s="309"/>
      <c r="S58" s="154"/>
      <c r="T58" s="154"/>
      <c r="U58" s="226"/>
      <c r="V58" s="226"/>
      <c r="W58" s="226"/>
      <c r="X58" s="226"/>
      <c r="Y58" s="226"/>
      <c r="Z58" s="120"/>
      <c r="AA58" s="120"/>
    </row>
    <row r="59" spans="2:27" s="5" customFormat="1" ht="12.75" customHeight="1" x14ac:dyDescent="0.2">
      <c r="B59" s="136"/>
      <c r="C59" s="201"/>
      <c r="D59" s="201"/>
      <c r="E59" s="201"/>
      <c r="F59" s="201"/>
      <c r="G59" s="201"/>
      <c r="H59" s="201"/>
      <c r="I59" s="202"/>
      <c r="J59" s="202"/>
      <c r="K59" s="186"/>
      <c r="L59" s="186"/>
      <c r="M59" s="186"/>
      <c r="N59" s="186"/>
      <c r="O59" s="186"/>
      <c r="P59" s="186"/>
      <c r="Q59" s="309"/>
      <c r="R59" s="309"/>
      <c r="S59" s="154"/>
      <c r="T59" s="154"/>
      <c r="U59" s="226"/>
      <c r="V59" s="226"/>
      <c r="W59" s="226"/>
      <c r="X59" s="226"/>
      <c r="Y59" s="226"/>
      <c r="Z59" s="120"/>
      <c r="AA59" s="120"/>
    </row>
    <row r="60" spans="2:27" s="5" customFormat="1" ht="12.75" customHeight="1" x14ac:dyDescent="0.2">
      <c r="B60" s="136"/>
      <c r="C60" s="202"/>
      <c r="D60" s="202"/>
      <c r="E60" s="202"/>
      <c r="F60" s="202"/>
      <c r="G60" s="202"/>
      <c r="H60" s="202"/>
      <c r="I60" s="202"/>
      <c r="J60" s="202"/>
      <c r="K60" s="186"/>
      <c r="L60" s="186"/>
      <c r="M60" s="186"/>
      <c r="N60" s="186"/>
      <c r="O60" s="186"/>
      <c r="P60" s="186"/>
      <c r="Q60" s="187"/>
      <c r="R60" s="187"/>
      <c r="S60" s="154"/>
      <c r="T60" s="154"/>
      <c r="U60" s="183"/>
      <c r="V60" s="188"/>
      <c r="W60" s="189"/>
      <c r="X60" s="189"/>
      <c r="Y60" s="190"/>
      <c r="Z60" s="120"/>
      <c r="AA60" s="120"/>
    </row>
    <row r="61" spans="2:27" s="5" customFormat="1" ht="12.75" customHeight="1" x14ac:dyDescent="0.2">
      <c r="B61" s="174"/>
      <c r="C61" s="175"/>
      <c r="D61" s="175"/>
      <c r="E61" s="175"/>
      <c r="F61" s="175"/>
      <c r="G61" s="175"/>
      <c r="H61" s="175"/>
      <c r="I61" s="176"/>
      <c r="J61" s="176"/>
      <c r="K61" s="177"/>
      <c r="L61" s="177"/>
      <c r="M61" s="177"/>
      <c r="N61" s="177"/>
      <c r="O61" s="177"/>
      <c r="P61" s="177"/>
      <c r="Q61" s="178"/>
      <c r="R61" s="178"/>
      <c r="S61" s="178"/>
      <c r="T61" s="178"/>
      <c r="U61" s="179"/>
      <c r="V61" s="179"/>
      <c r="W61" s="179"/>
      <c r="X61" s="179"/>
      <c r="Y61" s="179"/>
      <c r="Z61" s="120"/>
      <c r="AA61" s="120"/>
    </row>
    <row r="62" spans="2:27" ht="12.75" customHeight="1" x14ac:dyDescent="0.2"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</row>
    <row r="63" spans="2:27" s="112" customFormat="1" ht="12.75" customHeight="1" thickBot="1" x14ac:dyDescent="0.25">
      <c r="B63" s="116" t="s">
        <v>171</v>
      </c>
      <c r="C63" s="116"/>
      <c r="D63" s="116"/>
      <c r="E63" s="116"/>
      <c r="F63" s="116"/>
      <c r="G63" s="116"/>
      <c r="H63" s="116"/>
      <c r="I63" s="116"/>
      <c r="J63" s="116"/>
      <c r="K63" s="116"/>
      <c r="L63" s="118" t="s">
        <v>94</v>
      </c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4"/>
      <c r="AA63" s="114"/>
    </row>
    <row r="64" spans="2:27" s="112" customFormat="1" ht="12.75" customHeight="1" thickTop="1" thickBot="1" x14ac:dyDescent="0.25">
      <c r="B64" s="249" t="s">
        <v>24</v>
      </c>
      <c r="C64" s="250" t="s">
        <v>34</v>
      </c>
      <c r="D64" s="250"/>
      <c r="E64" s="250"/>
      <c r="F64" s="250"/>
      <c r="G64" s="250"/>
      <c r="H64" s="250"/>
      <c r="I64" s="250"/>
      <c r="J64" s="250"/>
      <c r="K64" s="251" t="s">
        <v>28</v>
      </c>
      <c r="L64" s="251"/>
      <c r="M64" s="251"/>
      <c r="N64" s="251"/>
      <c r="O64" s="251"/>
      <c r="P64" s="251"/>
      <c r="Q64" s="228" t="s">
        <v>35</v>
      </c>
      <c r="R64" s="228"/>
      <c r="S64" s="228" t="s">
        <v>36</v>
      </c>
      <c r="T64" s="228"/>
      <c r="U64" s="295" t="s">
        <v>33</v>
      </c>
      <c r="V64" s="295"/>
      <c r="W64" s="295"/>
      <c r="X64" s="295"/>
      <c r="Y64" s="295"/>
      <c r="Z64" s="114"/>
      <c r="AA64" s="114"/>
    </row>
    <row r="65" spans="2:27" s="112" customFormat="1" ht="12.75" customHeight="1" thickTop="1" thickBot="1" x14ac:dyDescent="0.25">
      <c r="B65" s="249"/>
      <c r="C65" s="250"/>
      <c r="D65" s="250"/>
      <c r="E65" s="250"/>
      <c r="F65" s="250"/>
      <c r="G65" s="250"/>
      <c r="H65" s="250"/>
      <c r="I65" s="250"/>
      <c r="J65" s="250"/>
      <c r="K65" s="252" t="s">
        <v>29</v>
      </c>
      <c r="L65" s="252"/>
      <c r="M65" s="252"/>
      <c r="N65" s="252" t="s">
        <v>30</v>
      </c>
      <c r="O65" s="252"/>
      <c r="P65" s="252"/>
      <c r="Q65" s="228"/>
      <c r="R65" s="228"/>
      <c r="S65" s="225"/>
      <c r="T65" s="225"/>
      <c r="U65" s="295"/>
      <c r="V65" s="295"/>
      <c r="W65" s="295"/>
      <c r="X65" s="295"/>
      <c r="Y65" s="295"/>
      <c r="Z65" s="114"/>
      <c r="AA65" s="114"/>
    </row>
    <row r="66" spans="2:27" s="5" customFormat="1" ht="12.75" customHeight="1" thickTop="1" thickBot="1" x14ac:dyDescent="0.25">
      <c r="B66" s="122"/>
      <c r="C66" s="220"/>
      <c r="D66" s="220"/>
      <c r="E66" s="220"/>
      <c r="F66" s="220"/>
      <c r="G66" s="220"/>
      <c r="H66" s="220"/>
      <c r="I66" s="220"/>
      <c r="J66" s="220"/>
      <c r="K66" s="308"/>
      <c r="L66" s="308"/>
      <c r="M66" s="308"/>
      <c r="N66" s="308"/>
      <c r="O66" s="308"/>
      <c r="P66" s="308"/>
      <c r="Q66" s="223"/>
      <c r="R66" s="224"/>
      <c r="S66" s="296"/>
      <c r="T66" s="296"/>
      <c r="U66" s="293"/>
      <c r="V66" s="294"/>
      <c r="W66" s="294"/>
      <c r="X66" s="294"/>
      <c r="Y66" s="294"/>
      <c r="Z66" s="115"/>
      <c r="AA66" s="115"/>
    </row>
    <row r="67" spans="2:27" s="5" customFormat="1" ht="12.75" customHeight="1" thickTop="1" thickBot="1" x14ac:dyDescent="0.25">
      <c r="B67" s="123"/>
      <c r="C67" s="221"/>
      <c r="D67" s="221"/>
      <c r="E67" s="221"/>
      <c r="F67" s="221"/>
      <c r="G67" s="221"/>
      <c r="H67" s="221"/>
      <c r="I67" s="221"/>
      <c r="J67" s="221"/>
      <c r="K67" s="219"/>
      <c r="L67" s="219"/>
      <c r="M67" s="219"/>
      <c r="N67" s="219"/>
      <c r="O67" s="219"/>
      <c r="P67" s="219"/>
      <c r="Q67" s="305"/>
      <c r="R67" s="305"/>
      <c r="S67" s="306"/>
      <c r="T67" s="307"/>
      <c r="U67" s="216"/>
      <c r="V67" s="217"/>
      <c r="W67" s="217"/>
      <c r="X67" s="217"/>
      <c r="Y67" s="218"/>
      <c r="Z67" s="115"/>
      <c r="AA67" s="115"/>
    </row>
    <row r="68" spans="2:27" ht="12.75" customHeight="1" thickTop="1" thickBot="1" x14ac:dyDescent="0.25">
      <c r="B68" s="123"/>
      <c r="C68" s="221"/>
      <c r="D68" s="221"/>
      <c r="E68" s="221"/>
      <c r="F68" s="221"/>
      <c r="G68" s="221"/>
      <c r="H68" s="221"/>
      <c r="I68" s="221"/>
      <c r="J68" s="221"/>
      <c r="K68" s="219"/>
      <c r="L68" s="219"/>
      <c r="M68" s="219"/>
      <c r="N68" s="219"/>
      <c r="O68" s="219"/>
      <c r="P68" s="219"/>
      <c r="Q68" s="305"/>
      <c r="R68" s="305"/>
      <c r="S68" s="306"/>
      <c r="T68" s="307"/>
      <c r="U68" s="216"/>
      <c r="V68" s="217"/>
      <c r="W68" s="217"/>
      <c r="X68" s="217"/>
      <c r="Y68" s="218"/>
      <c r="Z68" s="113"/>
      <c r="AA68" s="113"/>
    </row>
    <row r="69" spans="2:27" s="112" customFormat="1" ht="12.75" customHeight="1" thickTop="1" thickBot="1" x14ac:dyDescent="0.25">
      <c r="B69" s="116" t="s">
        <v>172</v>
      </c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24" t="s">
        <v>94</v>
      </c>
      <c r="V69" s="116"/>
      <c r="W69" s="116"/>
      <c r="X69" s="116"/>
      <c r="Y69" s="116"/>
      <c r="Z69" s="114"/>
      <c r="AA69" s="114"/>
    </row>
    <row r="70" spans="2:27" ht="24.75" customHeight="1" thickTop="1" thickBot="1" x14ac:dyDescent="0.25">
      <c r="B70" s="121" t="s">
        <v>24</v>
      </c>
      <c r="C70" s="228" t="s">
        <v>37</v>
      </c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 t="s">
        <v>38</v>
      </c>
      <c r="O70" s="228"/>
      <c r="P70" s="228"/>
      <c r="Q70" s="225" t="s">
        <v>39</v>
      </c>
      <c r="R70" s="225"/>
      <c r="S70" s="225"/>
      <c r="T70" s="225"/>
      <c r="U70" s="227" t="s">
        <v>33</v>
      </c>
      <c r="V70" s="227"/>
      <c r="W70" s="227"/>
      <c r="X70" s="227"/>
      <c r="Y70" s="227"/>
      <c r="Z70" s="113"/>
      <c r="AA70" s="113"/>
    </row>
    <row r="71" spans="2:27" ht="11.45" customHeight="1" thickTop="1" x14ac:dyDescent="0.2">
      <c r="B71" s="125">
        <v>1</v>
      </c>
      <c r="C71" s="264" t="s">
        <v>40</v>
      </c>
      <c r="D71" s="265"/>
      <c r="E71" s="265"/>
      <c r="F71" s="265"/>
      <c r="G71" s="265"/>
      <c r="H71" s="265"/>
      <c r="I71" s="265"/>
      <c r="J71" s="265"/>
      <c r="K71" s="265"/>
      <c r="L71" s="265"/>
      <c r="M71" s="266"/>
      <c r="N71" s="260">
        <v>4</v>
      </c>
      <c r="O71" s="261"/>
      <c r="P71" s="262"/>
      <c r="Q71" s="253">
        <v>4</v>
      </c>
      <c r="R71" s="254"/>
      <c r="S71" s="254"/>
      <c r="T71" s="255"/>
      <c r="U71" s="256" t="s">
        <v>210</v>
      </c>
      <c r="V71" s="257"/>
      <c r="W71" s="257"/>
      <c r="X71" s="257"/>
      <c r="Y71" s="258"/>
      <c r="Z71" s="113"/>
      <c r="AA71" s="113"/>
    </row>
    <row r="72" spans="2:27" ht="11.45" customHeight="1" x14ac:dyDescent="0.2">
      <c r="B72" s="126">
        <v>2</v>
      </c>
      <c r="C72" s="259" t="s">
        <v>41</v>
      </c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63">
        <v>2</v>
      </c>
      <c r="O72" s="263"/>
      <c r="P72" s="260"/>
      <c r="Q72" s="271">
        <f>N72</f>
        <v>2</v>
      </c>
      <c r="R72" s="271"/>
      <c r="S72" s="271"/>
      <c r="T72" s="271"/>
      <c r="U72" s="258" t="s">
        <v>211</v>
      </c>
      <c r="V72" s="270"/>
      <c r="W72" s="270"/>
      <c r="X72" s="270"/>
      <c r="Y72" s="270"/>
      <c r="Z72" s="113"/>
      <c r="AA72" s="113"/>
    </row>
    <row r="73" spans="2:27" ht="10.5" customHeight="1" thickBot="1" x14ac:dyDescent="0.25">
      <c r="B73" s="126">
        <v>3</v>
      </c>
      <c r="C73" s="259" t="s">
        <v>199</v>
      </c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63">
        <v>1</v>
      </c>
      <c r="O73" s="263"/>
      <c r="P73" s="260"/>
      <c r="Q73" s="271">
        <v>1</v>
      </c>
      <c r="R73" s="271"/>
      <c r="S73" s="271"/>
      <c r="T73" s="271"/>
      <c r="U73" s="258" t="s">
        <v>212</v>
      </c>
      <c r="V73" s="270"/>
      <c r="W73" s="270"/>
      <c r="X73" s="270"/>
      <c r="Y73" s="270"/>
      <c r="Z73" s="113"/>
      <c r="AA73" s="113"/>
    </row>
    <row r="74" spans="2:27" ht="13.5" customHeight="1" thickTop="1" thickBot="1" x14ac:dyDescent="0.25">
      <c r="B74" s="127"/>
      <c r="C74" s="267" t="s">
        <v>31</v>
      </c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8">
        <f>SUM(N71:P73)</f>
        <v>7</v>
      </c>
      <c r="O74" s="268"/>
      <c r="P74" s="268"/>
      <c r="Q74" s="158"/>
      <c r="R74" s="158"/>
      <c r="S74" s="158"/>
      <c r="T74" s="159">
        <f>SUM(Q71:T73)</f>
        <v>7</v>
      </c>
      <c r="U74" s="269"/>
      <c r="V74" s="269"/>
      <c r="W74" s="269"/>
      <c r="X74" s="269"/>
      <c r="Y74" s="269"/>
      <c r="Z74" s="113"/>
      <c r="AA74" s="113"/>
    </row>
    <row r="75" spans="2:27" ht="12.75" customHeight="1" thickTop="1" x14ac:dyDescent="0.2"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28"/>
      <c r="V75" s="128"/>
      <c r="W75" s="128"/>
      <c r="X75" s="117"/>
      <c r="Y75" s="117"/>
      <c r="Z75" s="113"/>
      <c r="AA75" s="113"/>
    </row>
    <row r="76" spans="2:27" s="112" customFormat="1" ht="12.75" customHeight="1" thickBot="1" x14ac:dyDescent="0.25">
      <c r="B76" s="116" t="s">
        <v>173</v>
      </c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4"/>
      <c r="AA76" s="114"/>
    </row>
    <row r="77" spans="2:27" ht="24.75" customHeight="1" thickTop="1" thickBot="1" x14ac:dyDescent="0.25">
      <c r="B77" s="121" t="s">
        <v>24</v>
      </c>
      <c r="C77" s="228" t="s">
        <v>37</v>
      </c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 t="s">
        <v>42</v>
      </c>
      <c r="R77" s="228"/>
      <c r="S77" s="228"/>
      <c r="T77" s="228"/>
      <c r="U77" s="227" t="s">
        <v>43</v>
      </c>
      <c r="V77" s="227"/>
      <c r="W77" s="227"/>
      <c r="X77" s="227"/>
      <c r="Y77" s="227"/>
      <c r="Z77" s="113"/>
      <c r="AA77" s="113"/>
    </row>
    <row r="78" spans="2:27" ht="12.75" customHeight="1" thickTop="1" x14ac:dyDescent="0.2">
      <c r="B78" s="129">
        <v>1</v>
      </c>
      <c r="C78" s="273" t="s">
        <v>44</v>
      </c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4">
        <v>19</v>
      </c>
      <c r="R78" s="274"/>
      <c r="S78" s="274"/>
      <c r="T78" s="274"/>
      <c r="U78" s="275"/>
      <c r="V78" s="275"/>
      <c r="W78" s="275"/>
      <c r="X78" s="275"/>
      <c r="Y78" s="275"/>
      <c r="Z78" s="113"/>
      <c r="AA78" s="113"/>
    </row>
    <row r="79" spans="2:27" ht="11.45" customHeight="1" x14ac:dyDescent="0.2">
      <c r="B79" s="126">
        <v>2</v>
      </c>
      <c r="C79" s="259" t="s">
        <v>175</v>
      </c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63">
        <v>0</v>
      </c>
      <c r="R79" s="263"/>
      <c r="S79" s="263"/>
      <c r="T79" s="263"/>
      <c r="U79" s="272"/>
      <c r="V79" s="272"/>
      <c r="W79" s="272"/>
      <c r="X79" s="272"/>
      <c r="Y79" s="272"/>
      <c r="Z79" s="113"/>
      <c r="AA79" s="113"/>
    </row>
    <row r="80" spans="2:27" ht="12.75" customHeight="1" x14ac:dyDescent="0.2">
      <c r="B80" s="126">
        <v>3</v>
      </c>
      <c r="C80" s="259" t="s">
        <v>45</v>
      </c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63">
        <v>7</v>
      </c>
      <c r="R80" s="263"/>
      <c r="S80" s="263"/>
      <c r="T80" s="263"/>
      <c r="U80" s="272"/>
      <c r="V80" s="272"/>
      <c r="W80" s="272"/>
      <c r="X80" s="272"/>
      <c r="Y80" s="272"/>
      <c r="Z80" s="113"/>
      <c r="AA80" s="113"/>
    </row>
    <row r="81" spans="2:27" ht="13.5" customHeight="1" thickBot="1" x14ac:dyDescent="0.25">
      <c r="B81" s="126">
        <v>4</v>
      </c>
      <c r="C81" s="259" t="s">
        <v>176</v>
      </c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63">
        <v>0</v>
      </c>
      <c r="R81" s="263"/>
      <c r="S81" s="263"/>
      <c r="T81" s="263"/>
      <c r="U81" s="264"/>
      <c r="V81" s="265"/>
      <c r="W81" s="265"/>
      <c r="X81" s="265"/>
      <c r="Y81" s="291"/>
      <c r="Z81" s="113"/>
      <c r="AA81" s="113"/>
    </row>
    <row r="82" spans="2:27" ht="13.5" customHeight="1" thickTop="1" thickBot="1" x14ac:dyDescent="0.25">
      <c r="B82" s="127"/>
      <c r="C82" s="267" t="s">
        <v>46</v>
      </c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8">
        <v>31</v>
      </c>
      <c r="R82" s="268"/>
      <c r="S82" s="268"/>
      <c r="T82" s="268"/>
      <c r="U82" s="299" t="s">
        <v>235</v>
      </c>
      <c r="V82" s="299"/>
      <c r="W82" s="299"/>
      <c r="X82" s="299"/>
      <c r="Y82" s="299"/>
      <c r="Z82" s="113"/>
      <c r="AA82" s="113"/>
    </row>
    <row r="83" spans="2:27" ht="13.5" customHeight="1" thickTop="1" x14ac:dyDescent="0.2">
      <c r="B83" s="128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2"/>
      <c r="R83" s="172"/>
      <c r="S83" s="172"/>
      <c r="T83" s="172"/>
      <c r="U83" s="133"/>
      <c r="V83" s="133"/>
      <c r="W83" s="133"/>
      <c r="X83" s="133"/>
      <c r="Y83" s="133"/>
      <c r="Z83" s="113"/>
      <c r="AA83" s="113"/>
    </row>
    <row r="84" spans="2:27" ht="13.5" customHeight="1" x14ac:dyDescent="0.2">
      <c r="B84" s="128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2"/>
      <c r="R84" s="172"/>
      <c r="S84" s="172"/>
      <c r="T84" s="172"/>
      <c r="U84" s="133"/>
      <c r="V84" s="133"/>
      <c r="W84" s="133"/>
      <c r="X84" s="133"/>
      <c r="Y84" s="133"/>
      <c r="Z84" s="113"/>
      <c r="AA84" s="113"/>
    </row>
    <row r="85" spans="2:27" ht="12.75" customHeight="1" x14ac:dyDescent="0.2"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3"/>
      <c r="AA85" s="113"/>
    </row>
    <row r="86" spans="2:27" s="112" customFormat="1" ht="12.75" customHeight="1" thickBot="1" x14ac:dyDescent="0.25">
      <c r="B86" s="116" t="s">
        <v>174</v>
      </c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4"/>
      <c r="AA86" s="114"/>
    </row>
    <row r="87" spans="2:27" ht="24.75" customHeight="1" thickTop="1" thickBot="1" x14ac:dyDescent="0.25">
      <c r="B87" s="121" t="s">
        <v>24</v>
      </c>
      <c r="C87" s="228" t="s">
        <v>47</v>
      </c>
      <c r="D87" s="228"/>
      <c r="E87" s="228"/>
      <c r="F87" s="228"/>
      <c r="G87" s="228"/>
      <c r="H87" s="228"/>
      <c r="I87" s="228"/>
      <c r="J87" s="228"/>
      <c r="K87" s="228"/>
      <c r="L87" s="228" t="s">
        <v>48</v>
      </c>
      <c r="M87" s="228"/>
      <c r="N87" s="228"/>
      <c r="O87" s="228"/>
      <c r="P87" s="228"/>
      <c r="Q87" s="228"/>
      <c r="R87" s="228"/>
      <c r="S87" s="227" t="s">
        <v>49</v>
      </c>
      <c r="T87" s="227"/>
      <c r="U87" s="227"/>
      <c r="V87" s="227"/>
      <c r="W87" s="227"/>
      <c r="X87" s="227"/>
      <c r="Y87" s="227"/>
      <c r="Z87" s="113"/>
      <c r="AA87" s="113"/>
    </row>
    <row r="88" spans="2:27" ht="12.75" customHeight="1" thickTop="1" x14ac:dyDescent="0.2">
      <c r="B88" s="125">
        <v>1</v>
      </c>
      <c r="C88" s="284" t="s">
        <v>114</v>
      </c>
      <c r="D88" s="284"/>
      <c r="E88" s="284"/>
      <c r="F88" s="284"/>
      <c r="G88" s="284"/>
      <c r="H88" s="284"/>
      <c r="I88" s="284"/>
      <c r="J88" s="284"/>
      <c r="K88" s="284"/>
      <c r="L88" s="297" t="s">
        <v>114</v>
      </c>
      <c r="M88" s="297"/>
      <c r="N88" s="297"/>
      <c r="O88" s="297"/>
      <c r="P88" s="297"/>
      <c r="Q88" s="297"/>
      <c r="R88" s="297"/>
      <c r="S88" s="298" t="s">
        <v>114</v>
      </c>
      <c r="T88" s="298"/>
      <c r="U88" s="298"/>
      <c r="V88" s="298"/>
      <c r="W88" s="298"/>
      <c r="X88" s="298"/>
      <c r="Y88" s="298"/>
      <c r="Z88" s="113"/>
      <c r="AA88" s="113"/>
    </row>
    <row r="89" spans="2:27" ht="12.75" customHeight="1" x14ac:dyDescent="0.2">
      <c r="B89" s="126">
        <v>2</v>
      </c>
      <c r="C89" s="259"/>
      <c r="D89" s="259"/>
      <c r="E89" s="259"/>
      <c r="F89" s="259"/>
      <c r="G89" s="259"/>
      <c r="H89" s="259"/>
      <c r="I89" s="259"/>
      <c r="J89" s="259"/>
      <c r="K89" s="259"/>
      <c r="L89" s="263"/>
      <c r="M89" s="263"/>
      <c r="N89" s="263"/>
      <c r="O89" s="263"/>
      <c r="P89" s="263"/>
      <c r="Q89" s="263"/>
      <c r="R89" s="263"/>
      <c r="S89" s="292"/>
      <c r="T89" s="292"/>
      <c r="U89" s="292"/>
      <c r="V89" s="292"/>
      <c r="W89" s="292"/>
      <c r="X89" s="292"/>
      <c r="Y89" s="292"/>
      <c r="Z89" s="113"/>
      <c r="AA89" s="113"/>
    </row>
    <row r="90" spans="2:27" ht="12.75" customHeight="1" thickBot="1" x14ac:dyDescent="0.25">
      <c r="B90" s="130">
        <v>3</v>
      </c>
      <c r="C90" s="283"/>
      <c r="D90" s="283"/>
      <c r="E90" s="283"/>
      <c r="F90" s="283"/>
      <c r="G90" s="283"/>
      <c r="H90" s="283"/>
      <c r="I90" s="283"/>
      <c r="J90" s="283"/>
      <c r="K90" s="283"/>
      <c r="L90" s="290"/>
      <c r="M90" s="290"/>
      <c r="N90" s="290"/>
      <c r="O90" s="290"/>
      <c r="P90" s="290"/>
      <c r="Q90" s="290"/>
      <c r="R90" s="290"/>
      <c r="S90" s="289"/>
      <c r="T90" s="289"/>
      <c r="U90" s="289"/>
      <c r="V90" s="289"/>
      <c r="W90" s="289"/>
      <c r="X90" s="289"/>
      <c r="Y90" s="289"/>
      <c r="Z90" s="113"/>
      <c r="AA90" s="113"/>
    </row>
    <row r="91" spans="2:27" ht="13.5" customHeight="1" thickTop="1" thickBot="1" x14ac:dyDescent="0.25">
      <c r="B91" s="131"/>
      <c r="C91" s="281" t="s">
        <v>31</v>
      </c>
      <c r="D91" s="282"/>
      <c r="E91" s="282"/>
      <c r="F91" s="282"/>
      <c r="G91" s="282"/>
      <c r="H91" s="282"/>
      <c r="I91" s="282"/>
      <c r="J91" s="282"/>
      <c r="K91" s="282"/>
      <c r="L91" s="286" t="s">
        <v>94</v>
      </c>
      <c r="M91" s="286"/>
      <c r="N91" s="286"/>
      <c r="O91" s="286"/>
      <c r="P91" s="286"/>
      <c r="Q91" s="286"/>
      <c r="R91" s="286"/>
      <c r="S91" s="288" t="s">
        <v>94</v>
      </c>
      <c r="T91" s="288"/>
      <c r="U91" s="288"/>
      <c r="V91" s="288"/>
      <c r="W91" s="288"/>
      <c r="X91" s="288"/>
      <c r="Y91" s="288"/>
      <c r="Z91" s="113"/>
      <c r="AA91" s="113"/>
    </row>
    <row r="92" spans="2:27" ht="12.75" customHeight="1" thickTop="1" x14ac:dyDescent="0.2"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3"/>
      <c r="AA92" s="113"/>
    </row>
    <row r="93" spans="2:27" s="112" customFormat="1" ht="11.25" x14ac:dyDescent="0.2">
      <c r="B93" s="132">
        <v>7</v>
      </c>
      <c r="C93" s="277" t="s">
        <v>169</v>
      </c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116" t="s">
        <v>50</v>
      </c>
      <c r="P93" s="283" t="s">
        <v>177</v>
      </c>
      <c r="Q93" s="283"/>
      <c r="R93" s="283"/>
      <c r="S93" s="283"/>
      <c r="T93" s="283"/>
      <c r="U93" s="283"/>
      <c r="V93" s="283"/>
      <c r="W93" s="283"/>
      <c r="X93" s="283"/>
      <c r="Y93" s="283"/>
      <c r="Z93" s="114"/>
      <c r="AA93" s="114"/>
    </row>
    <row r="94" spans="2:27" ht="11.25" x14ac:dyDescent="0.2">
      <c r="B94" s="117"/>
      <c r="C94" s="287" t="s">
        <v>170</v>
      </c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117"/>
      <c r="P94" s="210" t="s">
        <v>177</v>
      </c>
      <c r="Q94" s="210"/>
      <c r="R94" s="210"/>
      <c r="S94" s="210"/>
      <c r="T94" s="210"/>
      <c r="U94" s="210"/>
      <c r="V94" s="210"/>
      <c r="W94" s="210"/>
      <c r="X94" s="210"/>
      <c r="Y94" s="210"/>
      <c r="Z94" s="113"/>
      <c r="AA94" s="113"/>
    </row>
    <row r="95" spans="2:27" ht="11.25" x14ac:dyDescent="0.2">
      <c r="B95" s="117"/>
      <c r="C95" s="277" t="s">
        <v>51</v>
      </c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117" t="s">
        <v>50</v>
      </c>
      <c r="P95" s="284" t="s">
        <v>177</v>
      </c>
      <c r="Q95" s="284"/>
      <c r="R95" s="284"/>
      <c r="S95" s="284"/>
      <c r="T95" s="284"/>
      <c r="U95" s="284"/>
      <c r="V95" s="284"/>
      <c r="W95" s="284"/>
      <c r="X95" s="284"/>
      <c r="Y95" s="284"/>
      <c r="Z95" s="113"/>
      <c r="AA95" s="113"/>
    </row>
    <row r="96" spans="2:27" ht="9" customHeight="1" x14ac:dyDescent="0.2"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3"/>
      <c r="AA96" s="113"/>
    </row>
    <row r="97" spans="2:27" ht="9" customHeight="1" x14ac:dyDescent="0.2"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3"/>
      <c r="AA97" s="113"/>
    </row>
    <row r="98" spans="2:27" ht="12" customHeight="1" x14ac:dyDescent="0.2">
      <c r="B98" s="134">
        <v>8</v>
      </c>
      <c r="C98" s="287" t="s">
        <v>166</v>
      </c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117" t="s">
        <v>50</v>
      </c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113"/>
      <c r="AA98" s="113"/>
    </row>
    <row r="99" spans="2:27" ht="12.75" customHeight="1" x14ac:dyDescent="0.2"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113"/>
      <c r="AA99" s="113"/>
    </row>
    <row r="100" spans="2:27" ht="9" customHeight="1" x14ac:dyDescent="0.2"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3"/>
      <c r="AA100" s="113"/>
    </row>
    <row r="101" spans="2:27" ht="9" customHeight="1" x14ac:dyDescent="0.2"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3"/>
      <c r="AA101" s="113"/>
    </row>
    <row r="102" spans="2:27" ht="12" customHeight="1" x14ac:dyDescent="0.2">
      <c r="B102" s="134">
        <v>9</v>
      </c>
      <c r="C102" s="277" t="s">
        <v>168</v>
      </c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117"/>
      <c r="O102" s="117" t="s">
        <v>50</v>
      </c>
      <c r="P102" s="277" t="s">
        <v>52</v>
      </c>
      <c r="Q102" s="277"/>
      <c r="R102" s="277"/>
      <c r="S102" s="277"/>
      <c r="T102" s="277"/>
      <c r="U102" s="277"/>
      <c r="V102" s="277"/>
      <c r="W102" s="277"/>
      <c r="X102" s="277"/>
      <c r="Y102" s="277"/>
      <c r="Z102" s="113"/>
      <c r="AA102" s="113"/>
    </row>
    <row r="103" spans="2:27" ht="10.5" customHeight="1" x14ac:dyDescent="0.2"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3"/>
      <c r="AA103" s="113"/>
    </row>
    <row r="104" spans="2:27" ht="12" customHeight="1" x14ac:dyDescent="0.2">
      <c r="B104" s="280" t="s">
        <v>53</v>
      </c>
      <c r="C104" s="280"/>
      <c r="D104" s="280" t="s">
        <v>182</v>
      </c>
      <c r="E104" s="280"/>
      <c r="F104" s="280"/>
      <c r="G104" s="280"/>
      <c r="H104" s="280"/>
      <c r="I104" s="280"/>
      <c r="J104" s="280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233" t="s">
        <v>54</v>
      </c>
      <c r="V104" s="233"/>
      <c r="W104" s="233"/>
      <c r="X104" s="233"/>
      <c r="Y104" s="233"/>
      <c r="Z104" s="113"/>
      <c r="AA104" s="113"/>
    </row>
    <row r="105" spans="2:27" ht="12.75" customHeight="1" x14ac:dyDescent="0.2">
      <c r="B105" s="280" t="s">
        <v>55</v>
      </c>
      <c r="C105" s="280"/>
      <c r="D105" s="285" t="s">
        <v>213</v>
      </c>
      <c r="E105" s="285"/>
      <c r="F105" s="285"/>
      <c r="G105" s="285"/>
      <c r="H105" s="135"/>
      <c r="I105" s="135"/>
      <c r="J105" s="135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  <row r="106" spans="2:27" ht="10.5" customHeight="1" x14ac:dyDescent="0.2">
      <c r="B106" s="134"/>
      <c r="C106" s="134"/>
      <c r="D106" s="133"/>
      <c r="E106" s="133"/>
      <c r="F106" s="133"/>
      <c r="G106" s="133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3"/>
      <c r="AA106" s="113"/>
    </row>
    <row r="107" spans="2:27" ht="10.5" customHeight="1" x14ac:dyDescent="0.2"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3"/>
      <c r="AA107" s="113"/>
    </row>
    <row r="108" spans="2:27" ht="10.5" customHeight="1" x14ac:dyDescent="0.2"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276"/>
      <c r="V108" s="276"/>
      <c r="W108" s="276"/>
      <c r="X108" s="276"/>
      <c r="Y108" s="276"/>
      <c r="Z108" s="113"/>
      <c r="AA108" s="113"/>
    </row>
    <row r="109" spans="2:27" ht="13.5" customHeight="1" x14ac:dyDescent="0.2">
      <c r="B109" s="276" t="s">
        <v>56</v>
      </c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113"/>
      <c r="AA109" s="113"/>
    </row>
    <row r="110" spans="2:27" ht="12.75" customHeight="1" x14ac:dyDescent="0.2">
      <c r="B110" s="277" t="s">
        <v>57</v>
      </c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113"/>
      <c r="AA110" s="113"/>
    </row>
    <row r="111" spans="2:27" ht="8.25" customHeight="1" x14ac:dyDescent="0.2"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113"/>
      <c r="AA111" s="113"/>
    </row>
    <row r="112" spans="2:27" ht="12.75" customHeight="1" x14ac:dyDescent="0.2">
      <c r="B112" s="278" t="s">
        <v>187</v>
      </c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113"/>
      <c r="AA112" s="113"/>
    </row>
    <row r="113" spans="2:27" ht="12" customHeight="1" x14ac:dyDescent="0.2"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3"/>
      <c r="AA113" s="113"/>
    </row>
    <row r="114" spans="2:27" ht="12.75" hidden="1" customHeight="1" x14ac:dyDescent="0.2"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3"/>
      <c r="AA114" s="113"/>
    </row>
    <row r="115" spans="2:27" ht="12.75" hidden="1" customHeight="1" x14ac:dyDescent="0.2"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3"/>
      <c r="AA115" s="113"/>
    </row>
    <row r="116" spans="2:27" ht="12.75" customHeight="1" x14ac:dyDescent="0.2"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3"/>
      <c r="AA116" s="113"/>
    </row>
    <row r="117" spans="2:27" ht="11.25" customHeight="1" x14ac:dyDescent="0.2"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3"/>
      <c r="AA117" s="113"/>
    </row>
    <row r="118" spans="2:27" ht="10.5" customHeight="1" x14ac:dyDescent="0.2"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3"/>
      <c r="AA118" s="113"/>
    </row>
    <row r="119" spans="2:27" s="112" customFormat="1" ht="14.25" customHeight="1" x14ac:dyDescent="0.2">
      <c r="B119" s="229" t="s">
        <v>58</v>
      </c>
      <c r="C119" s="229"/>
      <c r="D119" s="229" t="s">
        <v>94</v>
      </c>
      <c r="E119" s="229"/>
      <c r="F119" s="229"/>
      <c r="G119" s="229"/>
      <c r="H119" s="229"/>
      <c r="I119" s="114"/>
      <c r="J119" s="114"/>
      <c r="K119" s="114"/>
      <c r="L119" s="114"/>
      <c r="M119" s="114"/>
      <c r="N119" s="114"/>
      <c r="O119" s="279" t="s">
        <v>59</v>
      </c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114"/>
      <c r="AA119" s="114"/>
    </row>
    <row r="120" spans="2:27" s="112" customFormat="1" ht="13.5" customHeight="1" x14ac:dyDescent="0.2">
      <c r="B120" s="229" t="s">
        <v>60</v>
      </c>
      <c r="C120" s="229"/>
      <c r="D120" s="229" t="s">
        <v>61</v>
      </c>
      <c r="E120" s="229"/>
      <c r="F120" s="229"/>
      <c r="G120" s="229"/>
      <c r="H120" s="229"/>
      <c r="I120" s="114"/>
      <c r="J120" s="114"/>
      <c r="K120" s="114"/>
      <c r="L120" s="114"/>
      <c r="M120" s="114"/>
      <c r="N120" s="114"/>
      <c r="O120" s="279" t="s">
        <v>62</v>
      </c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114"/>
      <c r="AA120" s="114"/>
    </row>
  </sheetData>
  <sheetProtection selectLockedCells="1" selectUnlockedCells="1"/>
  <mergeCells count="319">
    <mergeCell ref="Q53:R53"/>
    <mergeCell ref="Q58:R59"/>
    <mergeCell ref="U58:Y58"/>
    <mergeCell ref="U59:Y59"/>
    <mergeCell ref="N55:P55"/>
    <mergeCell ref="Q55:R55"/>
    <mergeCell ref="U55:Y55"/>
    <mergeCell ref="Q57:R57"/>
    <mergeCell ref="U57:Y57"/>
    <mergeCell ref="Q56:R56"/>
    <mergeCell ref="Q68:R68"/>
    <mergeCell ref="S68:T68"/>
    <mergeCell ref="K66:M66"/>
    <mergeCell ref="N66:P66"/>
    <mergeCell ref="N67:P67"/>
    <mergeCell ref="S67:T67"/>
    <mergeCell ref="Q67:R67"/>
    <mergeCell ref="U46:Y46"/>
    <mergeCell ref="V32:Y32"/>
    <mergeCell ref="U44:Y45"/>
    <mergeCell ref="V34:Y34"/>
    <mergeCell ref="N46:P46"/>
    <mergeCell ref="P33:R33"/>
    <mergeCell ref="V33:Y33"/>
    <mergeCell ref="V36:Y36"/>
    <mergeCell ref="K35:O35"/>
    <mergeCell ref="K37:O37"/>
    <mergeCell ref="I30:J30"/>
    <mergeCell ref="P30:R30"/>
    <mergeCell ref="S30:U30"/>
    <mergeCell ref="V30:Y30"/>
    <mergeCell ref="I31:J31"/>
    <mergeCell ref="S29:U29"/>
    <mergeCell ref="K28:O29"/>
    <mergeCell ref="P28:U28"/>
    <mergeCell ref="V28:Y29"/>
    <mergeCell ref="P29:R29"/>
    <mergeCell ref="V31:Y31"/>
    <mergeCell ref="L88:R88"/>
    <mergeCell ref="S88:Y88"/>
    <mergeCell ref="C87:K87"/>
    <mergeCell ref="S87:Y87"/>
    <mergeCell ref="C77:P77"/>
    <mergeCell ref="U82:Y82"/>
    <mergeCell ref="P32:R32"/>
    <mergeCell ref="C36:H36"/>
    <mergeCell ref="S33:U33"/>
    <mergeCell ref="I48:J48"/>
    <mergeCell ref="C89:K89"/>
    <mergeCell ref="C50:H50"/>
    <mergeCell ref="L89:R89"/>
    <mergeCell ref="L87:R87"/>
    <mergeCell ref="Q77:T77"/>
    <mergeCell ref="K50:M50"/>
    <mergeCell ref="C48:H48"/>
    <mergeCell ref="Q50:R50"/>
    <mergeCell ref="Q81:T81"/>
    <mergeCell ref="U81:Y81"/>
    <mergeCell ref="Q82:T82"/>
    <mergeCell ref="S89:Y89"/>
    <mergeCell ref="C82:P82"/>
    <mergeCell ref="I53:J53"/>
    <mergeCell ref="U66:Y66"/>
    <mergeCell ref="U64:Y65"/>
    <mergeCell ref="S66:T66"/>
    <mergeCell ref="S64:T65"/>
    <mergeCell ref="U77:Y77"/>
    <mergeCell ref="S91:Y91"/>
    <mergeCell ref="S90:Y90"/>
    <mergeCell ref="P94:Y94"/>
    <mergeCell ref="P95:Y95"/>
    <mergeCell ref="C93:N93"/>
    <mergeCell ref="P93:Y93"/>
    <mergeCell ref="L90:R90"/>
    <mergeCell ref="U104:Y104"/>
    <mergeCell ref="B105:C105"/>
    <mergeCell ref="D105:G105"/>
    <mergeCell ref="L91:R91"/>
    <mergeCell ref="P102:Y102"/>
    <mergeCell ref="C98:N98"/>
    <mergeCell ref="P99:Y99"/>
    <mergeCell ref="C94:N94"/>
    <mergeCell ref="P98:Y98"/>
    <mergeCell ref="C95:N95"/>
    <mergeCell ref="C102:M102"/>
    <mergeCell ref="B120:C120"/>
    <mergeCell ref="D120:H120"/>
    <mergeCell ref="C81:P81"/>
    <mergeCell ref="B104:C104"/>
    <mergeCell ref="D104:J104"/>
    <mergeCell ref="C91:K91"/>
    <mergeCell ref="C90:K90"/>
    <mergeCell ref="C88:K88"/>
    <mergeCell ref="O120:Y120"/>
    <mergeCell ref="B109:Y109"/>
    <mergeCell ref="B110:Y110"/>
    <mergeCell ref="U108:Y108"/>
    <mergeCell ref="B111:Y111"/>
    <mergeCell ref="B112:Y112"/>
    <mergeCell ref="O119:Y119"/>
    <mergeCell ref="B119:C119"/>
    <mergeCell ref="D119:H119"/>
    <mergeCell ref="C80:P80"/>
    <mergeCell ref="Q80:T80"/>
    <mergeCell ref="U80:Y80"/>
    <mergeCell ref="C78:P78"/>
    <mergeCell ref="Q78:T78"/>
    <mergeCell ref="U78:Y78"/>
    <mergeCell ref="C79:P79"/>
    <mergeCell ref="Q79:T79"/>
    <mergeCell ref="U79:Y79"/>
    <mergeCell ref="C74:M74"/>
    <mergeCell ref="N74:P74"/>
    <mergeCell ref="U74:Y74"/>
    <mergeCell ref="U72:Y72"/>
    <mergeCell ref="C73:M73"/>
    <mergeCell ref="Q72:T72"/>
    <mergeCell ref="N73:P73"/>
    <mergeCell ref="Q73:T73"/>
    <mergeCell ref="U73:Y73"/>
    <mergeCell ref="Q71:T71"/>
    <mergeCell ref="U71:Y71"/>
    <mergeCell ref="C72:M72"/>
    <mergeCell ref="U67:Y67"/>
    <mergeCell ref="C67:J67"/>
    <mergeCell ref="N71:P71"/>
    <mergeCell ref="N70:P70"/>
    <mergeCell ref="N72:P72"/>
    <mergeCell ref="C71:M71"/>
    <mergeCell ref="C70:M70"/>
    <mergeCell ref="B64:B65"/>
    <mergeCell ref="C64:J65"/>
    <mergeCell ref="K64:P64"/>
    <mergeCell ref="K65:M65"/>
    <mergeCell ref="N65:P65"/>
    <mergeCell ref="N52:P52"/>
    <mergeCell ref="N54:P54"/>
    <mergeCell ref="I52:J52"/>
    <mergeCell ref="C53:H53"/>
    <mergeCell ref="N53:P53"/>
    <mergeCell ref="B10:C10"/>
    <mergeCell ref="B28:B29"/>
    <mergeCell ref="C28:H29"/>
    <mergeCell ref="B20:J20"/>
    <mergeCell ref="I28:J29"/>
    <mergeCell ref="B44:B45"/>
    <mergeCell ref="C44:H45"/>
    <mergeCell ref="C33:H33"/>
    <mergeCell ref="B17:J17"/>
    <mergeCell ref="B18:J18"/>
    <mergeCell ref="Q8:X8"/>
    <mergeCell ref="Q9:X9"/>
    <mergeCell ref="Q10:X10"/>
    <mergeCell ref="B7:C7"/>
    <mergeCell ref="D7:J7"/>
    <mergeCell ref="B9:C9"/>
    <mergeCell ref="D9:J9"/>
    <mergeCell ref="B8:C8"/>
    <mergeCell ref="D8:J8"/>
    <mergeCell ref="D10:J10"/>
    <mergeCell ref="Q13:X14"/>
    <mergeCell ref="B11:C11"/>
    <mergeCell ref="V22:Y22"/>
    <mergeCell ref="B15:J15"/>
    <mergeCell ref="B16:J16"/>
    <mergeCell ref="Q11:X11"/>
    <mergeCell ref="Q22:S22"/>
    <mergeCell ref="D11:J11"/>
    <mergeCell ref="B12:C12"/>
    <mergeCell ref="D12:J12"/>
    <mergeCell ref="B1:Y1"/>
    <mergeCell ref="B2:Y2"/>
    <mergeCell ref="B3:Y3"/>
    <mergeCell ref="B4:Y4"/>
    <mergeCell ref="B5:Y5"/>
    <mergeCell ref="U6:V6"/>
    <mergeCell ref="W6:X6"/>
    <mergeCell ref="T22:U22"/>
    <mergeCell ref="C22:P22"/>
    <mergeCell ref="N17:P17"/>
    <mergeCell ref="K53:M53"/>
    <mergeCell ref="K54:M54"/>
    <mergeCell ref="C52:H52"/>
    <mergeCell ref="I51:J51"/>
    <mergeCell ref="K48:M48"/>
    <mergeCell ref="C34:H34"/>
    <mergeCell ref="I44:J45"/>
    <mergeCell ref="U70:Y70"/>
    <mergeCell ref="U54:Y54"/>
    <mergeCell ref="I50:J50"/>
    <mergeCell ref="K52:M52"/>
    <mergeCell ref="Q64:R65"/>
    <mergeCell ref="Q66:R66"/>
    <mergeCell ref="Q52:R52"/>
    <mergeCell ref="Q51:R51"/>
    <mergeCell ref="U52:Y52"/>
    <mergeCell ref="Q54:R54"/>
    <mergeCell ref="C30:H30"/>
    <mergeCell ref="I36:J36"/>
    <mergeCell ref="K36:O36"/>
    <mergeCell ref="N45:P45"/>
    <mergeCell ref="Q70:T70"/>
    <mergeCell ref="U53:Y53"/>
    <mergeCell ref="N50:P50"/>
    <mergeCell ref="N51:P51"/>
    <mergeCell ref="U56:Y56"/>
    <mergeCell ref="I54:J54"/>
    <mergeCell ref="Q47:R47"/>
    <mergeCell ref="C32:H32"/>
    <mergeCell ref="I32:J32"/>
    <mergeCell ref="I33:J33"/>
    <mergeCell ref="C35:H35"/>
    <mergeCell ref="I34:J34"/>
    <mergeCell ref="P34:R34"/>
    <mergeCell ref="I35:J35"/>
    <mergeCell ref="C37:H37"/>
    <mergeCell ref="I37:J37"/>
    <mergeCell ref="P31:R31"/>
    <mergeCell ref="C31:H31"/>
    <mergeCell ref="S36:U36"/>
    <mergeCell ref="P35:R35"/>
    <mergeCell ref="S35:U35"/>
    <mergeCell ref="Q46:R46"/>
    <mergeCell ref="K34:O34"/>
    <mergeCell ref="S31:U31"/>
    <mergeCell ref="S34:U34"/>
    <mergeCell ref="K33:O33"/>
    <mergeCell ref="P37:R37"/>
    <mergeCell ref="K44:P44"/>
    <mergeCell ref="Q44:T45"/>
    <mergeCell ref="C38:H38"/>
    <mergeCell ref="I38:J38"/>
    <mergeCell ref="K38:O38"/>
    <mergeCell ref="P38:R38"/>
    <mergeCell ref="S38:U38"/>
    <mergeCell ref="V38:Y38"/>
    <mergeCell ref="V40:Y40"/>
    <mergeCell ref="C39:H39"/>
    <mergeCell ref="I39:J39"/>
    <mergeCell ref="K39:O39"/>
    <mergeCell ref="P39:R39"/>
    <mergeCell ref="S39:U39"/>
    <mergeCell ref="V39:Y39"/>
    <mergeCell ref="C55:H55"/>
    <mergeCell ref="C40:H40"/>
    <mergeCell ref="I40:J40"/>
    <mergeCell ref="K40:O40"/>
    <mergeCell ref="P40:R40"/>
    <mergeCell ref="S40:U40"/>
    <mergeCell ref="N47:P47"/>
    <mergeCell ref="K45:M45"/>
    <mergeCell ref="K46:M46"/>
    <mergeCell ref="K47:M47"/>
    <mergeCell ref="K56:M56"/>
    <mergeCell ref="N56:P56"/>
    <mergeCell ref="C59:H59"/>
    <mergeCell ref="I59:J59"/>
    <mergeCell ref="K58:M58"/>
    <mergeCell ref="N58:P58"/>
    <mergeCell ref="U68:Y68"/>
    <mergeCell ref="C57:H57"/>
    <mergeCell ref="I57:J57"/>
    <mergeCell ref="K57:M57"/>
    <mergeCell ref="N57:P57"/>
    <mergeCell ref="K67:M67"/>
    <mergeCell ref="C66:J66"/>
    <mergeCell ref="C68:J68"/>
    <mergeCell ref="K68:M68"/>
    <mergeCell ref="N68:P68"/>
    <mergeCell ref="U48:Y48"/>
    <mergeCell ref="Q48:R48"/>
    <mergeCell ref="U51:Y51"/>
    <mergeCell ref="U49:Y49"/>
    <mergeCell ref="P41:R41"/>
    <mergeCell ref="C42:H42"/>
    <mergeCell ref="I42:J42"/>
    <mergeCell ref="K42:O42"/>
    <mergeCell ref="P42:R42"/>
    <mergeCell ref="U47:Y47"/>
    <mergeCell ref="I55:J55"/>
    <mergeCell ref="C41:H41"/>
    <mergeCell ref="I41:J41"/>
    <mergeCell ref="K41:O41"/>
    <mergeCell ref="C54:H54"/>
    <mergeCell ref="K59:M59"/>
    <mergeCell ref="N59:P59"/>
    <mergeCell ref="N48:P48"/>
    <mergeCell ref="C56:H56"/>
    <mergeCell ref="I56:J56"/>
    <mergeCell ref="K30:O30"/>
    <mergeCell ref="K31:O31"/>
    <mergeCell ref="K32:O32"/>
    <mergeCell ref="S42:U42"/>
    <mergeCell ref="V41:X42"/>
    <mergeCell ref="S41:U41"/>
    <mergeCell ref="V37:Y37"/>
    <mergeCell ref="V35:Y35"/>
    <mergeCell ref="S37:U37"/>
    <mergeCell ref="P36:R36"/>
    <mergeCell ref="B46:B47"/>
    <mergeCell ref="C46:H47"/>
    <mergeCell ref="I46:J47"/>
    <mergeCell ref="C60:H60"/>
    <mergeCell ref="I60:J60"/>
    <mergeCell ref="K60:M60"/>
    <mergeCell ref="K55:M55"/>
    <mergeCell ref="K51:M51"/>
    <mergeCell ref="C51:H51"/>
    <mergeCell ref="C58:H58"/>
    <mergeCell ref="N60:P60"/>
    <mergeCell ref="Q60:R60"/>
    <mergeCell ref="V60:Y60"/>
    <mergeCell ref="C49:H49"/>
    <mergeCell ref="I49:J49"/>
    <mergeCell ref="K49:M49"/>
    <mergeCell ref="N49:P49"/>
    <mergeCell ref="Q49:R49"/>
    <mergeCell ref="U50:Y50"/>
    <mergeCell ref="I58:J58"/>
  </mergeCells>
  <pageMargins left="0.51181102362204722" right="0.70866141732283472" top="0.47244094488188981" bottom="0.47244094488188981" header="0.23622047244094491" footer="0.31496062992125984"/>
  <pageSetup paperSize="9" scale="70" firstPageNumber="0" fitToHeight="0" orientation="portrait" useFirstPageNumber="1" r:id="rId1"/>
  <headerFooter alignWithMargins="0">
    <oddFooter>&amp;C&amp;"Calibri,Regular"&amp;11Page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B81"/>
  <sheetViews>
    <sheetView view="pageBreakPreview" topLeftCell="A12" zoomScale="93" zoomScaleNormal="93" zoomScaleSheetLayoutView="93" workbookViewId="0">
      <selection activeCell="E9" sqref="E9:O9"/>
    </sheetView>
  </sheetViews>
  <sheetFormatPr defaultRowHeight="11.25" x14ac:dyDescent="0.2"/>
  <cols>
    <col min="1" max="1" width="1.42578125" style="2" customWidth="1"/>
    <col min="2" max="2" width="11.85546875" style="2" bestFit="1" customWidth="1"/>
    <col min="3" max="3" width="14.5703125" style="2" customWidth="1"/>
    <col min="4" max="4" width="9.140625" style="2" customWidth="1"/>
    <col min="5" max="5" width="14.140625" style="2" customWidth="1"/>
    <col min="6" max="6" width="11.28515625" style="2" bestFit="1" customWidth="1"/>
    <col min="7" max="7" width="14" style="2" customWidth="1"/>
    <col min="8" max="8" width="11.7109375" style="2" bestFit="1" customWidth="1"/>
    <col min="9" max="9" width="5.5703125" style="2" customWidth="1"/>
    <col min="10" max="10" width="14.28515625" style="2" bestFit="1" customWidth="1"/>
    <col min="11" max="11" width="9" style="2" bestFit="1" customWidth="1"/>
    <col min="12" max="12" width="9.85546875" style="2" bestFit="1" customWidth="1"/>
    <col min="13" max="13" width="7" style="2" customWidth="1"/>
    <col min="14" max="14" width="10.140625" style="2" bestFit="1" customWidth="1"/>
    <col min="15" max="15" width="5.5703125" style="2" customWidth="1"/>
    <col min="16" max="16" width="30.28515625" style="2" customWidth="1"/>
    <col min="17" max="17" width="10.140625" style="78" bestFit="1" customWidth="1"/>
    <col min="18" max="18" width="10.42578125" style="78" customWidth="1"/>
    <col min="19" max="19" width="10.5703125" style="2" customWidth="1"/>
    <col min="20" max="20" width="12.42578125" style="2" customWidth="1"/>
    <col min="21" max="21" width="27.5703125" style="9" customWidth="1"/>
    <col min="22" max="22" width="1.42578125" style="2" customWidth="1"/>
    <col min="23" max="16384" width="9.140625" style="2"/>
  </cols>
  <sheetData>
    <row r="1" spans="2:28" x14ac:dyDescent="0.2"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</row>
    <row r="2" spans="2:28" x14ac:dyDescent="0.2">
      <c r="B2" s="313" t="s">
        <v>63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162" t="s">
        <v>64</v>
      </c>
    </row>
    <row r="3" spans="2:28" ht="12" thickBot="1" x14ac:dyDescent="0.25">
      <c r="B3" s="313" t="s">
        <v>65</v>
      </c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</row>
    <row r="4" spans="2:28" ht="12.75" thickTop="1" thickBot="1" x14ac:dyDescent="0.25">
      <c r="B4" s="314" t="s">
        <v>202</v>
      </c>
      <c r="C4" s="314"/>
      <c r="D4" s="314"/>
      <c r="E4" s="314"/>
      <c r="F4" s="314"/>
      <c r="G4" s="314"/>
      <c r="H4" s="314"/>
      <c r="I4" s="314"/>
      <c r="J4" s="314"/>
      <c r="K4" s="314"/>
      <c r="L4" s="315" t="s">
        <v>94</v>
      </c>
      <c r="M4" s="315"/>
      <c r="N4" s="77"/>
      <c r="O4" s="77"/>
      <c r="P4" s="77"/>
      <c r="R4" s="316" t="s">
        <v>66</v>
      </c>
      <c r="S4" s="316"/>
      <c r="T4" s="316"/>
      <c r="U4" s="163" t="s">
        <v>213</v>
      </c>
      <c r="V4" s="24"/>
    </row>
    <row r="5" spans="2:28" s="24" customFormat="1" ht="12.75" thickTop="1" thickBot="1" x14ac:dyDescent="0.25"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  <c r="M5" s="79"/>
      <c r="N5" s="81"/>
      <c r="O5" s="81"/>
      <c r="P5" s="81"/>
      <c r="Q5" s="82"/>
      <c r="R5" s="83"/>
      <c r="S5" s="81"/>
      <c r="T5" s="81"/>
      <c r="U5" s="164"/>
    </row>
    <row r="6" spans="2:28" ht="12.75" thickTop="1" thickBot="1" x14ac:dyDescent="0.25">
      <c r="B6" s="316" t="s">
        <v>178</v>
      </c>
      <c r="C6" s="316"/>
      <c r="D6" s="317" t="s">
        <v>252</v>
      </c>
      <c r="E6" s="317"/>
      <c r="F6" s="24"/>
      <c r="G6" s="84" t="s">
        <v>67</v>
      </c>
      <c r="H6" s="318">
        <v>804024</v>
      </c>
      <c r="I6" s="318"/>
      <c r="J6" s="85"/>
      <c r="K6" s="86"/>
      <c r="L6" s="319" t="s">
        <v>179</v>
      </c>
      <c r="M6" s="320"/>
      <c r="N6" s="321" t="s">
        <v>200</v>
      </c>
      <c r="O6" s="322"/>
      <c r="P6" s="322"/>
      <c r="R6" s="316" t="s">
        <v>68</v>
      </c>
      <c r="S6" s="316"/>
      <c r="T6" s="316"/>
      <c r="U6" s="165" t="s">
        <v>182</v>
      </c>
      <c r="V6" s="81"/>
      <c r="W6" s="81"/>
      <c r="X6" s="81"/>
      <c r="Y6" s="24"/>
      <c r="AB6" s="42"/>
    </row>
    <row r="7" spans="2:28" s="24" customFormat="1" ht="12.75" thickTop="1" thickBot="1" x14ac:dyDescent="0.25">
      <c r="B7" s="6"/>
      <c r="C7" s="6"/>
      <c r="D7" s="79"/>
      <c r="E7" s="79"/>
      <c r="F7" s="6"/>
      <c r="G7" s="6"/>
      <c r="H7" s="79"/>
      <c r="I7" s="79"/>
      <c r="J7" s="6"/>
      <c r="K7" s="6"/>
      <c r="L7" s="79"/>
      <c r="M7" s="79"/>
      <c r="Q7" s="82"/>
      <c r="R7" s="82"/>
      <c r="S7" s="6"/>
      <c r="U7" s="164"/>
      <c r="V7" s="81"/>
      <c r="W7" s="81"/>
      <c r="X7" s="81"/>
    </row>
    <row r="8" spans="2:28" ht="12.75" thickTop="1" thickBot="1" x14ac:dyDescent="0.25">
      <c r="B8" s="77" t="s">
        <v>69</v>
      </c>
      <c r="G8" s="87" t="s">
        <v>70</v>
      </c>
      <c r="H8" s="335">
        <v>93960</v>
      </c>
      <c r="I8" s="336"/>
      <c r="J8" s="336"/>
      <c r="K8" s="336"/>
      <c r="L8" s="336"/>
      <c r="M8" s="336"/>
      <c r="N8" s="81"/>
      <c r="P8" s="2" t="s">
        <v>71</v>
      </c>
      <c r="V8" s="24"/>
    </row>
    <row r="9" spans="2:28" s="13" customFormat="1" ht="12" thickBot="1" x14ac:dyDescent="0.25">
      <c r="B9" s="138" t="s">
        <v>28</v>
      </c>
      <c r="C9" s="324" t="s">
        <v>72</v>
      </c>
      <c r="D9" s="324"/>
      <c r="E9" s="324" t="s">
        <v>73</v>
      </c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 t="s">
        <v>74</v>
      </c>
      <c r="Q9" s="324"/>
      <c r="R9" s="324"/>
      <c r="S9" s="324" t="s">
        <v>86</v>
      </c>
      <c r="T9" s="324"/>
      <c r="U9" s="325" t="s">
        <v>75</v>
      </c>
    </row>
    <row r="10" spans="2:28" s="13" customFormat="1" ht="35.25" thickTop="1" thickBot="1" x14ac:dyDescent="0.25">
      <c r="B10" s="328"/>
      <c r="C10" s="333"/>
      <c r="D10" s="333"/>
      <c r="E10" s="337" t="s">
        <v>76</v>
      </c>
      <c r="F10" s="337"/>
      <c r="G10" s="323" t="s">
        <v>77</v>
      </c>
      <c r="H10" s="323"/>
      <c r="I10" s="88" t="s">
        <v>78</v>
      </c>
      <c r="J10" s="88" t="s">
        <v>79</v>
      </c>
      <c r="K10" s="88" t="s">
        <v>80</v>
      </c>
      <c r="L10" s="88" t="s">
        <v>81</v>
      </c>
      <c r="M10" s="88" t="s">
        <v>82</v>
      </c>
      <c r="N10" s="88" t="s">
        <v>83</v>
      </c>
      <c r="O10" s="88" t="s">
        <v>84</v>
      </c>
      <c r="P10" s="88" t="s">
        <v>85</v>
      </c>
      <c r="Q10" s="89" t="s">
        <v>78</v>
      </c>
      <c r="R10" s="89" t="s">
        <v>80</v>
      </c>
      <c r="S10" s="88" t="s">
        <v>86</v>
      </c>
      <c r="T10" s="88" t="s">
        <v>87</v>
      </c>
      <c r="U10" s="326"/>
    </row>
    <row r="11" spans="2:28" s="13" customFormat="1" ht="12" thickTop="1" x14ac:dyDescent="0.2">
      <c r="B11" s="329"/>
      <c r="C11" s="334"/>
      <c r="D11" s="334"/>
      <c r="E11" s="90" t="s">
        <v>29</v>
      </c>
      <c r="F11" s="90" t="s">
        <v>88</v>
      </c>
      <c r="G11" s="90" t="s">
        <v>89</v>
      </c>
      <c r="H11" s="90" t="s">
        <v>88</v>
      </c>
      <c r="I11" s="90"/>
      <c r="J11" s="90"/>
      <c r="K11" s="90" t="s">
        <v>90</v>
      </c>
      <c r="L11" s="90" t="s">
        <v>90</v>
      </c>
      <c r="M11" s="90" t="s">
        <v>90</v>
      </c>
      <c r="N11" s="90" t="s">
        <v>90</v>
      </c>
      <c r="O11" s="90" t="s">
        <v>90</v>
      </c>
      <c r="P11" s="90"/>
      <c r="Q11" s="91"/>
      <c r="R11" s="91" t="s">
        <v>90</v>
      </c>
      <c r="S11" s="90"/>
      <c r="T11" s="90"/>
      <c r="U11" s="327"/>
    </row>
    <row r="12" spans="2:28" s="94" customFormat="1" x14ac:dyDescent="0.2">
      <c r="B12" s="139">
        <v>1</v>
      </c>
      <c r="C12" s="92">
        <v>2</v>
      </c>
      <c r="D12" s="92" t="s">
        <v>91</v>
      </c>
      <c r="E12" s="92">
        <v>3</v>
      </c>
      <c r="F12" s="92">
        <v>4</v>
      </c>
      <c r="G12" s="92">
        <v>5</v>
      </c>
      <c r="H12" s="92">
        <v>6</v>
      </c>
      <c r="I12" s="92">
        <v>7</v>
      </c>
      <c r="J12" s="92">
        <v>8</v>
      </c>
      <c r="K12" s="92">
        <v>9</v>
      </c>
      <c r="L12" s="92">
        <v>10</v>
      </c>
      <c r="M12" s="92">
        <v>11</v>
      </c>
      <c r="N12" s="92">
        <v>12</v>
      </c>
      <c r="O12" s="92">
        <v>13</v>
      </c>
      <c r="P12" s="92">
        <v>14</v>
      </c>
      <c r="Q12" s="93">
        <v>15</v>
      </c>
      <c r="R12" s="93">
        <v>16</v>
      </c>
      <c r="S12" s="92">
        <v>17</v>
      </c>
      <c r="T12" s="92">
        <v>18</v>
      </c>
      <c r="U12" s="166"/>
    </row>
    <row r="13" spans="2:28" ht="15.75" customHeight="1" x14ac:dyDescent="0.2">
      <c r="B13" s="310">
        <v>45778</v>
      </c>
      <c r="C13" s="160"/>
      <c r="D13" s="95" t="s">
        <v>92</v>
      </c>
      <c r="E13" s="96" t="s">
        <v>114</v>
      </c>
      <c r="F13" s="96" t="s">
        <v>114</v>
      </c>
      <c r="G13" s="96" t="s">
        <v>114</v>
      </c>
      <c r="H13" s="96" t="s">
        <v>114</v>
      </c>
      <c r="I13" s="96" t="s">
        <v>114</v>
      </c>
      <c r="J13" s="96" t="s">
        <v>114</v>
      </c>
      <c r="K13" s="96" t="s">
        <v>114</v>
      </c>
      <c r="L13" s="96" t="s">
        <v>114</v>
      </c>
      <c r="M13" s="96" t="s">
        <v>114</v>
      </c>
      <c r="N13" s="96" t="s">
        <v>114</v>
      </c>
      <c r="O13" s="96" t="s">
        <v>114</v>
      </c>
      <c r="P13" s="96"/>
      <c r="Q13" s="99"/>
      <c r="R13" s="99"/>
      <c r="S13" s="97"/>
      <c r="T13" s="97"/>
      <c r="U13" s="330" t="s">
        <v>236</v>
      </c>
    </row>
    <row r="14" spans="2:28" ht="15.75" customHeight="1" x14ac:dyDescent="0.2">
      <c r="B14" s="311"/>
      <c r="C14" s="160"/>
      <c r="D14" s="95" t="s">
        <v>93</v>
      </c>
      <c r="E14" s="96" t="s">
        <v>114</v>
      </c>
      <c r="F14" s="96" t="s">
        <v>114</v>
      </c>
      <c r="G14" s="96" t="s">
        <v>114</v>
      </c>
      <c r="H14" s="96" t="s">
        <v>114</v>
      </c>
      <c r="I14" s="96" t="s">
        <v>114</v>
      </c>
      <c r="J14" s="96" t="s">
        <v>114</v>
      </c>
      <c r="K14" s="96" t="s">
        <v>114</v>
      </c>
      <c r="L14" s="96" t="s">
        <v>114</v>
      </c>
      <c r="M14" s="96" t="s">
        <v>114</v>
      </c>
      <c r="N14" s="96" t="s">
        <v>114</v>
      </c>
      <c r="O14" s="96" t="s">
        <v>114</v>
      </c>
      <c r="P14" s="96"/>
      <c r="Q14" s="99"/>
      <c r="R14" s="99"/>
      <c r="S14" s="97"/>
      <c r="T14" s="97"/>
      <c r="U14" s="331"/>
      <c r="V14" s="2" t="s">
        <v>94</v>
      </c>
    </row>
    <row r="15" spans="2:28" ht="15.75" customHeight="1" x14ac:dyDescent="0.2">
      <c r="B15" s="310">
        <v>45779</v>
      </c>
      <c r="C15" s="160"/>
      <c r="D15" s="95" t="s">
        <v>92</v>
      </c>
      <c r="E15" s="96" t="s">
        <v>114</v>
      </c>
      <c r="F15" s="96" t="s">
        <v>114</v>
      </c>
      <c r="G15" s="96" t="s">
        <v>114</v>
      </c>
      <c r="H15" s="96" t="s">
        <v>114</v>
      </c>
      <c r="I15" s="96" t="s">
        <v>114</v>
      </c>
      <c r="J15" s="96" t="s">
        <v>114</v>
      </c>
      <c r="K15" s="96" t="s">
        <v>114</v>
      </c>
      <c r="L15" s="96"/>
      <c r="M15" s="96" t="s">
        <v>114</v>
      </c>
      <c r="N15" s="96"/>
      <c r="O15" s="96" t="s">
        <v>114</v>
      </c>
      <c r="P15" s="96"/>
      <c r="Q15" s="99"/>
      <c r="R15" s="99"/>
      <c r="S15" s="97"/>
      <c r="T15" s="97"/>
      <c r="U15" s="331"/>
    </row>
    <row r="16" spans="2:28" ht="15.75" customHeight="1" x14ac:dyDescent="0.2">
      <c r="B16" s="311"/>
      <c r="C16" s="160"/>
      <c r="D16" s="95" t="s">
        <v>93</v>
      </c>
      <c r="E16" s="96" t="s">
        <v>114</v>
      </c>
      <c r="F16" s="96" t="s">
        <v>114</v>
      </c>
      <c r="G16" s="96" t="s">
        <v>114</v>
      </c>
      <c r="H16" s="96" t="s">
        <v>114</v>
      </c>
      <c r="I16" s="96" t="s">
        <v>114</v>
      </c>
      <c r="J16" s="96" t="s">
        <v>114</v>
      </c>
      <c r="K16" s="96" t="s">
        <v>114</v>
      </c>
      <c r="L16" s="96"/>
      <c r="M16" s="96" t="s">
        <v>114</v>
      </c>
      <c r="N16" s="96"/>
      <c r="O16" s="96" t="s">
        <v>114</v>
      </c>
      <c r="P16" s="100"/>
      <c r="Q16" s="101"/>
      <c r="R16" s="101"/>
      <c r="S16" s="97"/>
      <c r="T16" s="97"/>
      <c r="U16" s="331"/>
    </row>
    <row r="17" spans="2:21" ht="15.75" customHeight="1" x14ac:dyDescent="0.2">
      <c r="B17" s="310">
        <v>45780</v>
      </c>
      <c r="C17" s="160"/>
      <c r="D17" s="95" t="s">
        <v>92</v>
      </c>
      <c r="E17" s="96" t="s">
        <v>114</v>
      </c>
      <c r="F17" s="96" t="s">
        <v>114</v>
      </c>
      <c r="G17" s="96" t="s">
        <v>114</v>
      </c>
      <c r="H17" s="96" t="s">
        <v>114</v>
      </c>
      <c r="I17" s="96" t="s">
        <v>114</v>
      </c>
      <c r="J17" s="96" t="s">
        <v>114</v>
      </c>
      <c r="K17" s="96" t="s">
        <v>114</v>
      </c>
      <c r="L17" s="96"/>
      <c r="M17" s="96" t="s">
        <v>114</v>
      </c>
      <c r="N17" s="96"/>
      <c r="O17" s="96" t="s">
        <v>114</v>
      </c>
      <c r="P17" s="96"/>
      <c r="Q17" s="99"/>
      <c r="R17" s="99"/>
      <c r="S17" s="97"/>
      <c r="T17" s="97"/>
      <c r="U17" s="331"/>
    </row>
    <row r="18" spans="2:21" ht="15.75" customHeight="1" x14ac:dyDescent="0.2">
      <c r="B18" s="311"/>
      <c r="C18" s="160"/>
      <c r="D18" s="95" t="s">
        <v>93</v>
      </c>
      <c r="E18" s="96" t="s">
        <v>114</v>
      </c>
      <c r="F18" s="96" t="s">
        <v>114</v>
      </c>
      <c r="G18" s="96" t="s">
        <v>114</v>
      </c>
      <c r="H18" s="96" t="s">
        <v>114</v>
      </c>
      <c r="I18" s="96" t="s">
        <v>114</v>
      </c>
      <c r="J18" s="96" t="s">
        <v>114</v>
      </c>
      <c r="K18" s="96" t="s">
        <v>114</v>
      </c>
      <c r="L18" s="96"/>
      <c r="M18" s="96" t="s">
        <v>114</v>
      </c>
      <c r="N18" s="96"/>
      <c r="O18" s="96" t="s">
        <v>114</v>
      </c>
      <c r="P18" s="96"/>
      <c r="Q18" s="99"/>
      <c r="R18" s="99"/>
      <c r="S18" s="103"/>
      <c r="T18" s="104"/>
      <c r="U18" s="331"/>
    </row>
    <row r="19" spans="2:21" ht="15" customHeight="1" x14ac:dyDescent="0.2">
      <c r="B19" s="310">
        <v>45781</v>
      </c>
      <c r="C19" s="160"/>
      <c r="D19" s="95" t="s">
        <v>92</v>
      </c>
      <c r="E19" s="96" t="s">
        <v>114</v>
      </c>
      <c r="F19" s="96" t="s">
        <v>114</v>
      </c>
      <c r="G19" s="96" t="s">
        <v>114</v>
      </c>
      <c r="H19" s="96" t="s">
        <v>114</v>
      </c>
      <c r="I19" s="96" t="s">
        <v>114</v>
      </c>
      <c r="J19" s="96" t="s">
        <v>114</v>
      </c>
      <c r="K19" s="96" t="s">
        <v>114</v>
      </c>
      <c r="L19" s="96"/>
      <c r="M19" s="96" t="s">
        <v>114</v>
      </c>
      <c r="N19" s="96"/>
      <c r="O19" s="96" t="s">
        <v>114</v>
      </c>
      <c r="P19" s="96"/>
      <c r="Q19" s="99"/>
      <c r="R19" s="99"/>
      <c r="S19" s="97"/>
      <c r="T19" s="105"/>
      <c r="U19" s="331"/>
    </row>
    <row r="20" spans="2:21" ht="15.75" customHeight="1" x14ac:dyDescent="0.2">
      <c r="B20" s="311"/>
      <c r="C20" s="160"/>
      <c r="D20" s="95" t="s">
        <v>93</v>
      </c>
      <c r="E20" s="96" t="s">
        <v>114</v>
      </c>
      <c r="F20" s="96" t="s">
        <v>114</v>
      </c>
      <c r="G20" s="96" t="s">
        <v>114</v>
      </c>
      <c r="H20" s="96" t="s">
        <v>114</v>
      </c>
      <c r="I20" s="96" t="s">
        <v>114</v>
      </c>
      <c r="J20" s="96" t="s">
        <v>114</v>
      </c>
      <c r="K20" s="96" t="s">
        <v>114</v>
      </c>
      <c r="L20" s="96"/>
      <c r="M20" s="96" t="s">
        <v>114</v>
      </c>
      <c r="N20" s="96"/>
      <c r="O20" s="96" t="s">
        <v>114</v>
      </c>
      <c r="P20" s="96"/>
      <c r="Q20" s="99"/>
      <c r="R20" s="99"/>
      <c r="S20" s="97"/>
      <c r="T20" s="105"/>
      <c r="U20" s="331"/>
    </row>
    <row r="21" spans="2:21" ht="15.75" customHeight="1" x14ac:dyDescent="0.2">
      <c r="B21" s="310">
        <v>45782</v>
      </c>
      <c r="C21" s="160"/>
      <c r="D21" s="95" t="s">
        <v>92</v>
      </c>
      <c r="E21" s="96" t="s">
        <v>114</v>
      </c>
      <c r="F21" s="96" t="s">
        <v>114</v>
      </c>
      <c r="G21" s="96" t="s">
        <v>114</v>
      </c>
      <c r="H21" s="96" t="s">
        <v>114</v>
      </c>
      <c r="I21" s="96" t="s">
        <v>114</v>
      </c>
      <c r="J21" s="96" t="s">
        <v>114</v>
      </c>
      <c r="K21" s="96" t="s">
        <v>114</v>
      </c>
      <c r="L21" s="96"/>
      <c r="M21" s="96" t="s">
        <v>114</v>
      </c>
      <c r="N21" s="96"/>
      <c r="O21" s="96" t="s">
        <v>114</v>
      </c>
      <c r="P21" s="96"/>
      <c r="Q21" s="99"/>
      <c r="R21" s="99"/>
      <c r="S21" s="97"/>
      <c r="T21" s="97"/>
      <c r="U21" s="331"/>
    </row>
    <row r="22" spans="2:21" ht="15.75" customHeight="1" x14ac:dyDescent="0.2">
      <c r="B22" s="311"/>
      <c r="C22" s="160"/>
      <c r="D22" s="95" t="s">
        <v>93</v>
      </c>
      <c r="E22" s="96" t="s">
        <v>114</v>
      </c>
      <c r="F22" s="96" t="s">
        <v>114</v>
      </c>
      <c r="G22" s="96" t="s">
        <v>114</v>
      </c>
      <c r="H22" s="96" t="s">
        <v>114</v>
      </c>
      <c r="I22" s="96" t="s">
        <v>114</v>
      </c>
      <c r="J22" s="96" t="s">
        <v>114</v>
      </c>
      <c r="K22" s="96" t="s">
        <v>114</v>
      </c>
      <c r="L22" s="96"/>
      <c r="M22" s="96" t="s">
        <v>114</v>
      </c>
      <c r="N22" s="96"/>
      <c r="O22" s="96" t="s">
        <v>114</v>
      </c>
      <c r="P22" s="96"/>
      <c r="Q22" s="99"/>
      <c r="R22" s="99"/>
      <c r="S22" s="97"/>
      <c r="T22" s="105"/>
      <c r="U22" s="331"/>
    </row>
    <row r="23" spans="2:21" ht="15" customHeight="1" x14ac:dyDescent="0.2">
      <c r="B23" s="310">
        <v>45783</v>
      </c>
      <c r="C23" s="160"/>
      <c r="D23" s="95" t="s">
        <v>92</v>
      </c>
      <c r="E23" s="96" t="s">
        <v>114</v>
      </c>
      <c r="F23" s="96" t="s">
        <v>114</v>
      </c>
      <c r="G23" s="96" t="s">
        <v>114</v>
      </c>
      <c r="H23" s="96" t="s">
        <v>114</v>
      </c>
      <c r="I23" s="96" t="s">
        <v>114</v>
      </c>
      <c r="J23" s="96" t="s">
        <v>114</v>
      </c>
      <c r="K23" s="96" t="s">
        <v>114</v>
      </c>
      <c r="L23" s="96"/>
      <c r="M23" s="96" t="s">
        <v>114</v>
      </c>
      <c r="N23" s="96"/>
      <c r="O23" s="96" t="s">
        <v>114</v>
      </c>
      <c r="P23" s="96"/>
      <c r="Q23" s="99"/>
      <c r="R23" s="99"/>
      <c r="S23" s="97"/>
      <c r="T23" s="97"/>
      <c r="U23" s="331"/>
    </row>
    <row r="24" spans="2:21" ht="15" customHeight="1" x14ac:dyDescent="0.2">
      <c r="B24" s="311"/>
      <c r="C24" s="160"/>
      <c r="D24" s="95" t="s">
        <v>93</v>
      </c>
      <c r="E24" s="96" t="s">
        <v>114</v>
      </c>
      <c r="F24" s="96" t="s">
        <v>114</v>
      </c>
      <c r="G24" s="96" t="s">
        <v>114</v>
      </c>
      <c r="H24" s="96" t="s">
        <v>114</v>
      </c>
      <c r="I24" s="96" t="s">
        <v>114</v>
      </c>
      <c r="J24" s="96" t="s">
        <v>114</v>
      </c>
      <c r="K24" s="96" t="s">
        <v>114</v>
      </c>
      <c r="L24" s="96"/>
      <c r="M24" s="96" t="s">
        <v>114</v>
      </c>
      <c r="N24" s="96"/>
      <c r="O24" s="96" t="s">
        <v>114</v>
      </c>
      <c r="P24" s="96"/>
      <c r="Q24" s="99"/>
      <c r="R24" s="99"/>
      <c r="S24" s="97"/>
      <c r="T24" s="105"/>
      <c r="U24" s="331"/>
    </row>
    <row r="25" spans="2:21" ht="15" customHeight="1" x14ac:dyDescent="0.2">
      <c r="B25" s="310">
        <v>45784</v>
      </c>
      <c r="C25" s="160"/>
      <c r="D25" s="95" t="s">
        <v>92</v>
      </c>
      <c r="E25" s="96" t="s">
        <v>114</v>
      </c>
      <c r="F25" s="96" t="s">
        <v>114</v>
      </c>
      <c r="G25" s="96" t="s">
        <v>114</v>
      </c>
      <c r="H25" s="96" t="s">
        <v>114</v>
      </c>
      <c r="I25" s="96" t="s">
        <v>114</v>
      </c>
      <c r="J25" s="96" t="s">
        <v>114</v>
      </c>
      <c r="K25" s="96" t="s">
        <v>114</v>
      </c>
      <c r="L25" s="96"/>
      <c r="M25" s="96" t="s">
        <v>114</v>
      </c>
      <c r="N25" s="96"/>
      <c r="O25" s="96" t="s">
        <v>114</v>
      </c>
      <c r="P25" s="102"/>
      <c r="Q25" s="99"/>
      <c r="R25" s="99"/>
      <c r="S25" s="97"/>
      <c r="T25" s="105"/>
      <c r="U25" s="331"/>
    </row>
    <row r="26" spans="2:21" ht="15" customHeight="1" x14ac:dyDescent="0.2">
      <c r="B26" s="311"/>
      <c r="C26" s="160"/>
      <c r="D26" s="95" t="s">
        <v>93</v>
      </c>
      <c r="E26" s="96" t="s">
        <v>114</v>
      </c>
      <c r="F26" s="96" t="s">
        <v>114</v>
      </c>
      <c r="G26" s="96" t="s">
        <v>114</v>
      </c>
      <c r="H26" s="96" t="s">
        <v>114</v>
      </c>
      <c r="I26" s="96" t="s">
        <v>114</v>
      </c>
      <c r="J26" s="96" t="s">
        <v>114</v>
      </c>
      <c r="K26" s="96" t="s">
        <v>114</v>
      </c>
      <c r="L26" s="96"/>
      <c r="M26" s="96" t="s">
        <v>114</v>
      </c>
      <c r="N26" s="96"/>
      <c r="O26" s="96" t="s">
        <v>114</v>
      </c>
      <c r="P26" s="102"/>
      <c r="Q26" s="99"/>
      <c r="R26" s="99"/>
      <c r="S26" s="97"/>
      <c r="T26" s="105"/>
      <c r="U26" s="332"/>
    </row>
    <row r="27" spans="2:21" ht="15" customHeight="1" x14ac:dyDescent="0.2">
      <c r="B27" s="310">
        <v>45785</v>
      </c>
      <c r="C27" s="160" t="s">
        <v>225</v>
      </c>
      <c r="D27" s="95" t="s">
        <v>92</v>
      </c>
      <c r="E27" s="96" t="s">
        <v>114</v>
      </c>
      <c r="F27" s="96" t="s">
        <v>114</v>
      </c>
      <c r="G27" s="96" t="s">
        <v>114</v>
      </c>
      <c r="H27" s="96" t="s">
        <v>114</v>
      </c>
      <c r="I27" s="96" t="s">
        <v>114</v>
      </c>
      <c r="J27" s="96" t="s">
        <v>114</v>
      </c>
      <c r="K27" s="96" t="s">
        <v>114</v>
      </c>
      <c r="L27" s="96"/>
      <c r="M27" s="96" t="s">
        <v>114</v>
      </c>
      <c r="N27" s="96">
        <v>1800</v>
      </c>
      <c r="O27" s="96" t="s">
        <v>114</v>
      </c>
      <c r="P27" s="96"/>
      <c r="Q27" s="99"/>
      <c r="R27" s="99"/>
      <c r="S27" s="97"/>
      <c r="T27" s="97"/>
      <c r="U27" s="167"/>
    </row>
    <row r="28" spans="2:21" ht="15" customHeight="1" x14ac:dyDescent="0.2">
      <c r="B28" s="311"/>
      <c r="C28" s="160" t="s">
        <v>182</v>
      </c>
      <c r="D28" s="95" t="s">
        <v>93</v>
      </c>
      <c r="E28" s="96" t="s">
        <v>114</v>
      </c>
      <c r="F28" s="96" t="s">
        <v>114</v>
      </c>
      <c r="G28" s="96" t="s">
        <v>114</v>
      </c>
      <c r="H28" s="96" t="s">
        <v>114</v>
      </c>
      <c r="I28" s="96" t="s">
        <v>114</v>
      </c>
      <c r="J28" s="96" t="s">
        <v>114</v>
      </c>
      <c r="K28" s="96" t="s">
        <v>114</v>
      </c>
      <c r="L28" s="96" t="s">
        <v>114</v>
      </c>
      <c r="M28" s="96" t="s">
        <v>114</v>
      </c>
      <c r="N28" s="96"/>
      <c r="O28" s="96" t="s">
        <v>114</v>
      </c>
      <c r="P28" s="96"/>
      <c r="Q28" s="99"/>
      <c r="R28" s="99"/>
      <c r="S28" s="97"/>
      <c r="T28" s="105"/>
      <c r="U28" s="167"/>
    </row>
    <row r="29" spans="2:21" ht="15" customHeight="1" x14ac:dyDescent="0.2">
      <c r="B29" s="310">
        <v>45786</v>
      </c>
      <c r="C29" s="160" t="s">
        <v>237</v>
      </c>
      <c r="D29" s="95" t="s">
        <v>92</v>
      </c>
      <c r="E29" s="96" t="s">
        <v>114</v>
      </c>
      <c r="F29" s="96" t="s">
        <v>114</v>
      </c>
      <c r="G29" s="96" t="s">
        <v>114</v>
      </c>
      <c r="H29" s="96" t="s">
        <v>114</v>
      </c>
      <c r="I29" s="96" t="s">
        <v>114</v>
      </c>
      <c r="J29" s="96" t="s">
        <v>114</v>
      </c>
      <c r="K29" s="96" t="s">
        <v>114</v>
      </c>
      <c r="L29" s="96" t="s">
        <v>114</v>
      </c>
      <c r="M29" s="96" t="s">
        <v>114</v>
      </c>
      <c r="N29" s="96">
        <v>1800</v>
      </c>
      <c r="O29" s="96" t="s">
        <v>114</v>
      </c>
      <c r="P29" s="96"/>
      <c r="Q29" s="99"/>
      <c r="R29" s="99"/>
      <c r="S29" s="97"/>
      <c r="T29" s="97"/>
      <c r="U29" s="167"/>
    </row>
    <row r="30" spans="2:21" ht="15" customHeight="1" x14ac:dyDescent="0.2">
      <c r="B30" s="311"/>
      <c r="C30" s="160" t="s">
        <v>182</v>
      </c>
      <c r="D30" s="95" t="s">
        <v>93</v>
      </c>
      <c r="E30" s="96" t="s">
        <v>114</v>
      </c>
      <c r="F30" s="96" t="s">
        <v>114</v>
      </c>
      <c r="G30" s="96" t="s">
        <v>114</v>
      </c>
      <c r="H30" s="96" t="s">
        <v>114</v>
      </c>
      <c r="I30" s="96" t="s">
        <v>114</v>
      </c>
      <c r="J30" s="96" t="s">
        <v>114</v>
      </c>
      <c r="K30" s="96" t="s">
        <v>114</v>
      </c>
      <c r="L30" s="96" t="s">
        <v>114</v>
      </c>
      <c r="M30" s="96" t="s">
        <v>114</v>
      </c>
      <c r="N30" s="96"/>
      <c r="O30" s="96" t="s">
        <v>114</v>
      </c>
      <c r="P30" s="96"/>
      <c r="Q30" s="99"/>
      <c r="R30" s="99"/>
      <c r="S30" s="97"/>
      <c r="T30" s="105"/>
      <c r="U30" s="167"/>
    </row>
    <row r="31" spans="2:21" ht="15" customHeight="1" x14ac:dyDescent="0.2">
      <c r="B31" s="310">
        <v>45787</v>
      </c>
      <c r="C31" s="160" t="s">
        <v>198</v>
      </c>
      <c r="D31" s="95" t="s">
        <v>92</v>
      </c>
      <c r="E31" s="96" t="s">
        <v>114</v>
      </c>
      <c r="F31" s="96" t="s">
        <v>114</v>
      </c>
      <c r="G31" s="96" t="s">
        <v>114</v>
      </c>
      <c r="H31" s="96" t="s">
        <v>114</v>
      </c>
      <c r="I31" s="96" t="s">
        <v>114</v>
      </c>
      <c r="J31" s="96" t="s">
        <v>114</v>
      </c>
      <c r="K31" s="96" t="s">
        <v>114</v>
      </c>
      <c r="L31" s="96" t="s">
        <v>114</v>
      </c>
      <c r="M31" s="96" t="s">
        <v>114</v>
      </c>
      <c r="N31" s="96">
        <v>1800</v>
      </c>
      <c r="O31" s="96" t="s">
        <v>114</v>
      </c>
      <c r="P31" s="96"/>
      <c r="Q31" s="99"/>
      <c r="R31" s="99"/>
      <c r="S31" s="97"/>
      <c r="T31" s="97"/>
      <c r="U31" s="167"/>
    </row>
    <row r="32" spans="2:21" ht="15" customHeight="1" x14ac:dyDescent="0.2">
      <c r="B32" s="311"/>
      <c r="C32" s="160" t="s">
        <v>198</v>
      </c>
      <c r="D32" s="95" t="s">
        <v>93</v>
      </c>
      <c r="E32" s="96" t="s">
        <v>114</v>
      </c>
      <c r="F32" s="96" t="s">
        <v>114</v>
      </c>
      <c r="G32" s="96" t="s">
        <v>114</v>
      </c>
      <c r="H32" s="96" t="s">
        <v>114</v>
      </c>
      <c r="I32" s="96" t="s">
        <v>114</v>
      </c>
      <c r="J32" s="96" t="s">
        <v>114</v>
      </c>
      <c r="K32" s="96" t="s">
        <v>114</v>
      </c>
      <c r="L32" s="96" t="s">
        <v>114</v>
      </c>
      <c r="M32" s="96" t="s">
        <v>114</v>
      </c>
      <c r="N32" s="96"/>
      <c r="O32" s="96" t="s">
        <v>114</v>
      </c>
      <c r="P32" s="96"/>
      <c r="Q32" s="99"/>
      <c r="R32" s="99"/>
      <c r="S32" s="97"/>
      <c r="T32" s="97"/>
      <c r="U32" s="167"/>
    </row>
    <row r="33" spans="2:21" ht="15" customHeight="1" x14ac:dyDescent="0.2">
      <c r="B33" s="310">
        <v>45788</v>
      </c>
      <c r="C33" s="160" t="s">
        <v>198</v>
      </c>
      <c r="D33" s="95" t="s">
        <v>92</v>
      </c>
      <c r="E33" s="96" t="s">
        <v>114</v>
      </c>
      <c r="F33" s="96" t="s">
        <v>114</v>
      </c>
      <c r="G33" s="96" t="s">
        <v>114</v>
      </c>
      <c r="H33" s="96" t="s">
        <v>114</v>
      </c>
      <c r="I33" s="96" t="s">
        <v>114</v>
      </c>
      <c r="J33" s="96" t="s">
        <v>114</v>
      </c>
      <c r="K33" s="96" t="s">
        <v>114</v>
      </c>
      <c r="L33" s="96" t="s">
        <v>114</v>
      </c>
      <c r="M33" s="96" t="s">
        <v>114</v>
      </c>
      <c r="N33" s="96">
        <v>1800</v>
      </c>
      <c r="O33" s="96" t="s">
        <v>114</v>
      </c>
      <c r="P33" s="96"/>
      <c r="Q33" s="99"/>
      <c r="R33" s="99"/>
      <c r="S33" s="97"/>
      <c r="T33" s="97"/>
      <c r="U33" s="167"/>
    </row>
    <row r="34" spans="2:21" ht="15" customHeight="1" x14ac:dyDescent="0.2">
      <c r="B34" s="311"/>
      <c r="C34" s="160" t="s">
        <v>198</v>
      </c>
      <c r="D34" s="95" t="s">
        <v>93</v>
      </c>
      <c r="E34" s="96" t="s">
        <v>114</v>
      </c>
      <c r="F34" s="96" t="s">
        <v>114</v>
      </c>
      <c r="G34" s="96" t="s">
        <v>114</v>
      </c>
      <c r="H34" s="96" t="s">
        <v>114</v>
      </c>
      <c r="I34" s="96" t="s">
        <v>114</v>
      </c>
      <c r="J34" s="96" t="s">
        <v>114</v>
      </c>
      <c r="K34" s="96" t="s">
        <v>114</v>
      </c>
      <c r="L34" s="96" t="s">
        <v>114</v>
      </c>
      <c r="M34" s="96" t="s">
        <v>114</v>
      </c>
      <c r="N34" s="96"/>
      <c r="O34" s="96" t="s">
        <v>114</v>
      </c>
      <c r="P34" s="102"/>
      <c r="Q34" s="99"/>
      <c r="R34" s="99"/>
      <c r="S34" s="97"/>
      <c r="T34" s="97"/>
      <c r="U34" s="167"/>
    </row>
    <row r="35" spans="2:21" ht="15.75" customHeight="1" x14ac:dyDescent="0.2">
      <c r="B35" s="310">
        <v>45789</v>
      </c>
      <c r="C35" s="160" t="s">
        <v>214</v>
      </c>
      <c r="D35" s="95" t="s">
        <v>92</v>
      </c>
      <c r="E35" s="96" t="s">
        <v>182</v>
      </c>
      <c r="F35" s="96" t="s">
        <v>217</v>
      </c>
      <c r="G35" s="96" t="s">
        <v>226</v>
      </c>
      <c r="H35" s="96" t="s">
        <v>203</v>
      </c>
      <c r="I35" s="96">
        <v>100</v>
      </c>
      <c r="J35" s="96" t="s">
        <v>201</v>
      </c>
      <c r="K35" s="96">
        <v>180</v>
      </c>
      <c r="L35" s="96">
        <v>1764</v>
      </c>
      <c r="M35" s="96" t="s">
        <v>114</v>
      </c>
      <c r="N35" s="96">
        <v>1800</v>
      </c>
      <c r="O35" s="96" t="s">
        <v>114</v>
      </c>
      <c r="P35" s="96"/>
      <c r="Q35" s="99"/>
      <c r="R35" s="99"/>
      <c r="S35" s="97"/>
      <c r="T35" s="97"/>
      <c r="U35" s="167" t="s">
        <v>239</v>
      </c>
    </row>
    <row r="36" spans="2:21" ht="22.5" customHeight="1" x14ac:dyDescent="0.2">
      <c r="B36" s="311"/>
      <c r="C36" s="160" t="s">
        <v>238</v>
      </c>
      <c r="D36" s="95" t="s">
        <v>93</v>
      </c>
      <c r="E36" s="96" t="s">
        <v>226</v>
      </c>
      <c r="F36" s="184">
        <v>0.7729166666666667</v>
      </c>
      <c r="G36" s="96" t="s">
        <v>206</v>
      </c>
      <c r="H36" s="184">
        <v>0.80208333333333337</v>
      </c>
      <c r="I36" s="96">
        <v>17</v>
      </c>
      <c r="J36" s="96" t="s">
        <v>201</v>
      </c>
      <c r="K36" s="96">
        <v>30</v>
      </c>
      <c r="L36" s="96" t="s">
        <v>114</v>
      </c>
      <c r="M36" s="96" t="s">
        <v>114</v>
      </c>
      <c r="N36" s="96"/>
      <c r="O36" s="96" t="s">
        <v>114</v>
      </c>
      <c r="P36" s="102"/>
      <c r="Q36" s="99"/>
      <c r="R36" s="99"/>
      <c r="S36" s="97"/>
      <c r="T36" s="97"/>
      <c r="U36" s="167"/>
    </row>
    <row r="37" spans="2:21" ht="15.75" customHeight="1" x14ac:dyDescent="0.2">
      <c r="B37" s="310">
        <v>45790</v>
      </c>
      <c r="C37" s="160" t="s">
        <v>214</v>
      </c>
      <c r="D37" s="95" t="s">
        <v>92</v>
      </c>
      <c r="E37" s="96" t="s">
        <v>206</v>
      </c>
      <c r="F37" s="184">
        <v>0.37291666666666667</v>
      </c>
      <c r="G37" s="96" t="s">
        <v>226</v>
      </c>
      <c r="H37" s="96" t="s">
        <v>240</v>
      </c>
      <c r="I37" s="96">
        <v>17</v>
      </c>
      <c r="J37" s="96" t="s">
        <v>201</v>
      </c>
      <c r="K37" s="96">
        <v>30</v>
      </c>
      <c r="L37" s="96">
        <v>1764</v>
      </c>
      <c r="M37" s="96" t="s">
        <v>114</v>
      </c>
      <c r="N37" s="96">
        <v>1800</v>
      </c>
      <c r="O37" s="96" t="s">
        <v>114</v>
      </c>
      <c r="P37" s="96"/>
      <c r="Q37" s="99"/>
      <c r="R37" s="99"/>
      <c r="S37" s="97"/>
      <c r="T37" s="97"/>
      <c r="U37" s="167"/>
    </row>
    <row r="38" spans="2:21" ht="22.5" customHeight="1" x14ac:dyDescent="0.2">
      <c r="B38" s="311"/>
      <c r="C38" s="160" t="s">
        <v>238</v>
      </c>
      <c r="D38" s="95" t="s">
        <v>93</v>
      </c>
      <c r="E38" s="96" t="s">
        <v>226</v>
      </c>
      <c r="F38" s="96" t="s">
        <v>241</v>
      </c>
      <c r="G38" s="96" t="s">
        <v>206</v>
      </c>
      <c r="H38" s="184">
        <v>0.77083333333333337</v>
      </c>
      <c r="I38" s="96">
        <v>17</v>
      </c>
      <c r="J38" s="96" t="s">
        <v>201</v>
      </c>
      <c r="K38" s="96">
        <v>30</v>
      </c>
      <c r="L38" s="96" t="s">
        <v>114</v>
      </c>
      <c r="M38" s="96" t="s">
        <v>114</v>
      </c>
      <c r="N38" s="96"/>
      <c r="O38" s="96" t="s">
        <v>114</v>
      </c>
      <c r="P38" s="102"/>
      <c r="Q38" s="99"/>
      <c r="R38" s="99"/>
      <c r="S38" s="97"/>
      <c r="T38" s="97"/>
      <c r="U38" s="167"/>
    </row>
    <row r="39" spans="2:21" ht="15.75" customHeight="1" x14ac:dyDescent="0.2">
      <c r="B39" s="310">
        <v>45791</v>
      </c>
      <c r="C39" s="160" t="s">
        <v>214</v>
      </c>
      <c r="D39" s="95" t="s">
        <v>92</v>
      </c>
      <c r="E39" s="96" t="s">
        <v>206</v>
      </c>
      <c r="F39" s="184">
        <v>0.37638888888888888</v>
      </c>
      <c r="G39" s="96" t="s">
        <v>226</v>
      </c>
      <c r="H39" s="96" t="s">
        <v>242</v>
      </c>
      <c r="I39" s="96">
        <v>17</v>
      </c>
      <c r="J39" s="96" t="s">
        <v>201</v>
      </c>
      <c r="K39" s="96">
        <v>30</v>
      </c>
      <c r="L39" s="96">
        <v>1764</v>
      </c>
      <c r="M39" s="96" t="s">
        <v>114</v>
      </c>
      <c r="N39" s="96">
        <v>1800</v>
      </c>
      <c r="O39" s="96" t="s">
        <v>114</v>
      </c>
      <c r="P39" s="102"/>
      <c r="Q39" s="161"/>
      <c r="R39" s="161"/>
      <c r="S39" s="97"/>
      <c r="T39" s="97"/>
      <c r="U39" s="168"/>
    </row>
    <row r="40" spans="2:21" ht="22.5" customHeight="1" x14ac:dyDescent="0.2">
      <c r="B40" s="311"/>
      <c r="C40" s="160" t="s">
        <v>238</v>
      </c>
      <c r="D40" s="95" t="s">
        <v>93</v>
      </c>
      <c r="E40" s="96" t="s">
        <v>226</v>
      </c>
      <c r="F40" s="184">
        <v>0.71736111111111112</v>
      </c>
      <c r="G40" s="96" t="s">
        <v>206</v>
      </c>
      <c r="H40" s="184">
        <v>0.75</v>
      </c>
      <c r="I40" s="96">
        <v>17</v>
      </c>
      <c r="J40" s="96" t="s">
        <v>201</v>
      </c>
      <c r="K40" s="96">
        <v>30</v>
      </c>
      <c r="L40" s="96" t="s">
        <v>114</v>
      </c>
      <c r="M40" s="96" t="s">
        <v>114</v>
      </c>
      <c r="N40" s="96"/>
      <c r="O40" s="96" t="s">
        <v>114</v>
      </c>
      <c r="P40" s="102"/>
      <c r="Q40" s="161"/>
      <c r="R40" s="161"/>
      <c r="S40" s="97"/>
      <c r="T40" s="97"/>
      <c r="U40" s="168"/>
    </row>
    <row r="41" spans="2:21" ht="15.75" customHeight="1" x14ac:dyDescent="0.2">
      <c r="B41" s="310">
        <v>45792</v>
      </c>
      <c r="C41" s="160" t="s">
        <v>214</v>
      </c>
      <c r="D41" s="95" t="s">
        <v>92</v>
      </c>
      <c r="E41" s="96" t="s">
        <v>206</v>
      </c>
      <c r="F41" s="184">
        <v>0.32083333333333336</v>
      </c>
      <c r="G41" s="96" t="s">
        <v>227</v>
      </c>
      <c r="H41" s="184">
        <v>0.38541666666666669</v>
      </c>
      <c r="I41" s="96">
        <v>77</v>
      </c>
      <c r="J41" s="96" t="s">
        <v>201</v>
      </c>
      <c r="K41" s="96">
        <v>120</v>
      </c>
      <c r="L41" s="96" t="s">
        <v>114</v>
      </c>
      <c r="M41" s="96" t="s">
        <v>114</v>
      </c>
      <c r="N41" s="96">
        <v>1800</v>
      </c>
      <c r="O41" s="96" t="s">
        <v>114</v>
      </c>
      <c r="P41" s="96"/>
      <c r="Q41" s="99"/>
      <c r="R41" s="99"/>
      <c r="S41" s="97"/>
      <c r="T41" s="97"/>
      <c r="U41" s="167"/>
    </row>
    <row r="42" spans="2:21" ht="22.5" customHeight="1" x14ac:dyDescent="0.2">
      <c r="B42" s="311"/>
      <c r="C42" s="160" t="s">
        <v>243</v>
      </c>
      <c r="D42" s="95" t="s">
        <v>93</v>
      </c>
      <c r="E42" s="96" t="s">
        <v>227</v>
      </c>
      <c r="F42" s="185">
        <v>0.71736111111111112</v>
      </c>
      <c r="G42" s="2" t="s">
        <v>182</v>
      </c>
      <c r="H42" s="185">
        <v>0.88194444444444442</v>
      </c>
      <c r="I42" s="96">
        <v>122</v>
      </c>
      <c r="J42" s="96" t="s">
        <v>201</v>
      </c>
      <c r="K42" s="96">
        <v>205</v>
      </c>
      <c r="L42" s="96" t="s">
        <v>114</v>
      </c>
      <c r="M42" s="96" t="s">
        <v>114</v>
      </c>
      <c r="N42" s="96"/>
      <c r="O42" s="96" t="s">
        <v>114</v>
      </c>
      <c r="P42" s="96"/>
      <c r="Q42" s="99"/>
      <c r="R42" s="99"/>
      <c r="S42" s="97"/>
      <c r="T42" s="97"/>
      <c r="U42" s="167"/>
    </row>
    <row r="43" spans="2:21" ht="15.75" customHeight="1" x14ac:dyDescent="0.2">
      <c r="B43" s="310">
        <v>45793</v>
      </c>
      <c r="C43" s="160" t="s">
        <v>237</v>
      </c>
      <c r="D43" s="95" t="s">
        <v>92</v>
      </c>
      <c r="E43" s="96" t="s">
        <v>114</v>
      </c>
      <c r="F43" s="96" t="s">
        <v>114</v>
      </c>
      <c r="G43" s="96" t="s">
        <v>114</v>
      </c>
      <c r="H43" s="96" t="s">
        <v>114</v>
      </c>
      <c r="I43" s="96" t="s">
        <v>114</v>
      </c>
      <c r="J43" s="96" t="s">
        <v>114</v>
      </c>
      <c r="K43" s="96" t="s">
        <v>114</v>
      </c>
      <c r="L43" s="96" t="s">
        <v>114</v>
      </c>
      <c r="M43" s="96" t="s">
        <v>114</v>
      </c>
      <c r="N43" s="96">
        <v>1800</v>
      </c>
      <c r="O43" s="96" t="s">
        <v>114</v>
      </c>
      <c r="P43" s="96"/>
      <c r="Q43" s="99"/>
      <c r="R43" s="99"/>
      <c r="S43" s="97"/>
      <c r="T43" s="97"/>
      <c r="U43" s="167"/>
    </row>
    <row r="44" spans="2:21" ht="22.5" customHeight="1" x14ac:dyDescent="0.2">
      <c r="B44" s="311"/>
      <c r="C44" s="160" t="s">
        <v>182</v>
      </c>
      <c r="D44" s="95" t="s">
        <v>93</v>
      </c>
      <c r="E44" s="96" t="s">
        <v>114</v>
      </c>
      <c r="F44" s="96" t="s">
        <v>114</v>
      </c>
      <c r="G44" s="96" t="s">
        <v>114</v>
      </c>
      <c r="H44" s="96" t="s">
        <v>114</v>
      </c>
      <c r="I44" s="96" t="s">
        <v>114</v>
      </c>
      <c r="J44" s="96" t="s">
        <v>114</v>
      </c>
      <c r="K44" s="96" t="s">
        <v>114</v>
      </c>
      <c r="L44" s="96" t="s">
        <v>114</v>
      </c>
      <c r="M44" s="96" t="s">
        <v>114</v>
      </c>
      <c r="N44" s="96"/>
      <c r="O44" s="96" t="s">
        <v>114</v>
      </c>
      <c r="P44" s="96"/>
      <c r="Q44" s="99"/>
      <c r="R44" s="99"/>
      <c r="S44" s="97"/>
      <c r="T44" s="97"/>
      <c r="U44" s="167"/>
    </row>
    <row r="45" spans="2:21" ht="15.75" customHeight="1" x14ac:dyDescent="0.2">
      <c r="B45" s="310">
        <v>45794</v>
      </c>
      <c r="C45" s="160" t="s">
        <v>237</v>
      </c>
      <c r="D45" s="95" t="s">
        <v>92</v>
      </c>
      <c r="E45" s="96" t="s">
        <v>114</v>
      </c>
      <c r="F45" s="96" t="s">
        <v>114</v>
      </c>
      <c r="G45" s="96" t="s">
        <v>114</v>
      </c>
      <c r="H45" s="96" t="s">
        <v>114</v>
      </c>
      <c r="I45" s="96" t="s">
        <v>114</v>
      </c>
      <c r="J45" s="96" t="s">
        <v>114</v>
      </c>
      <c r="K45" s="96" t="s">
        <v>114</v>
      </c>
      <c r="L45" s="96" t="s">
        <v>114</v>
      </c>
      <c r="M45" s="96" t="s">
        <v>114</v>
      </c>
      <c r="N45" s="96">
        <v>1800</v>
      </c>
      <c r="O45" s="98"/>
      <c r="P45" s="96"/>
      <c r="Q45" s="99"/>
      <c r="R45" s="99"/>
      <c r="S45" s="97"/>
      <c r="T45" s="97"/>
      <c r="U45" s="167"/>
    </row>
    <row r="46" spans="2:21" ht="22.5" customHeight="1" x14ac:dyDescent="0.2">
      <c r="B46" s="311"/>
      <c r="C46" s="160" t="s">
        <v>182</v>
      </c>
      <c r="D46" s="95" t="s">
        <v>93</v>
      </c>
      <c r="E46" s="96" t="s">
        <v>114</v>
      </c>
      <c r="F46" s="96" t="s">
        <v>114</v>
      </c>
      <c r="G46" s="96" t="s">
        <v>114</v>
      </c>
      <c r="H46" s="96" t="s">
        <v>114</v>
      </c>
      <c r="I46" s="96" t="s">
        <v>114</v>
      </c>
      <c r="J46" s="96" t="s">
        <v>114</v>
      </c>
      <c r="K46" s="96" t="s">
        <v>114</v>
      </c>
      <c r="L46" s="96" t="s">
        <v>114</v>
      </c>
      <c r="M46" s="96" t="s">
        <v>114</v>
      </c>
      <c r="N46" s="96"/>
      <c r="O46" s="98"/>
      <c r="P46" s="96"/>
      <c r="Q46" s="99"/>
      <c r="R46" s="99"/>
      <c r="S46" s="97"/>
      <c r="T46" s="97"/>
      <c r="U46" s="167"/>
    </row>
    <row r="47" spans="2:21" ht="15" customHeight="1" x14ac:dyDescent="0.2">
      <c r="B47" s="310">
        <v>45795</v>
      </c>
      <c r="C47" s="160" t="s">
        <v>198</v>
      </c>
      <c r="D47" s="95" t="s">
        <v>92</v>
      </c>
      <c r="E47" s="96" t="s">
        <v>182</v>
      </c>
      <c r="F47" s="184">
        <v>0.87013888888888891</v>
      </c>
      <c r="G47" s="96" t="s">
        <v>228</v>
      </c>
      <c r="H47" s="184">
        <v>0.96875</v>
      </c>
      <c r="I47" s="96">
        <v>97</v>
      </c>
      <c r="J47" s="96" t="s">
        <v>201</v>
      </c>
      <c r="K47" s="96">
        <v>130</v>
      </c>
      <c r="L47" s="96" t="s">
        <v>114</v>
      </c>
      <c r="M47" s="96" t="s">
        <v>114</v>
      </c>
      <c r="N47" s="96">
        <v>1800</v>
      </c>
      <c r="O47" s="98"/>
      <c r="P47" s="96"/>
      <c r="Q47" s="99"/>
      <c r="R47" s="99"/>
      <c r="S47" s="97"/>
      <c r="T47" s="97"/>
      <c r="U47" s="167"/>
    </row>
    <row r="48" spans="2:21" ht="15" customHeight="1" x14ac:dyDescent="0.2">
      <c r="B48" s="311"/>
      <c r="C48" s="160" t="s">
        <v>198</v>
      </c>
      <c r="D48" s="95" t="s">
        <v>93</v>
      </c>
      <c r="E48" s="96" t="s">
        <v>114</v>
      </c>
      <c r="F48" s="96" t="s">
        <v>114</v>
      </c>
      <c r="G48" s="96" t="s">
        <v>114</v>
      </c>
      <c r="H48" s="96" t="s">
        <v>114</v>
      </c>
      <c r="I48" s="96" t="s">
        <v>114</v>
      </c>
      <c r="J48" s="96" t="s">
        <v>114</v>
      </c>
      <c r="K48" s="96" t="s">
        <v>114</v>
      </c>
      <c r="L48" s="96" t="s">
        <v>114</v>
      </c>
      <c r="M48" s="96" t="s">
        <v>114</v>
      </c>
      <c r="N48" s="96"/>
      <c r="O48" s="98"/>
      <c r="P48" s="96"/>
      <c r="Q48" s="99"/>
      <c r="R48" s="99"/>
      <c r="S48" s="97"/>
      <c r="T48" s="97"/>
      <c r="U48" s="167"/>
    </row>
    <row r="49" spans="2:21" ht="15" customHeight="1" x14ac:dyDescent="0.2">
      <c r="B49" s="310">
        <v>45796</v>
      </c>
      <c r="C49" s="160" t="s">
        <v>229</v>
      </c>
      <c r="D49" s="95" t="s">
        <v>92</v>
      </c>
      <c r="E49" s="96" t="s">
        <v>114</v>
      </c>
      <c r="F49" s="96" t="s">
        <v>114</v>
      </c>
      <c r="G49" s="96" t="s">
        <v>114</v>
      </c>
      <c r="H49" s="96" t="s">
        <v>114</v>
      </c>
      <c r="I49" s="96" t="s">
        <v>114</v>
      </c>
      <c r="J49" s="96" t="s">
        <v>114</v>
      </c>
      <c r="K49" s="96" t="s">
        <v>114</v>
      </c>
      <c r="L49" s="96">
        <v>1799</v>
      </c>
      <c r="M49" s="96" t="s">
        <v>114</v>
      </c>
      <c r="N49" s="96">
        <v>1800</v>
      </c>
      <c r="O49" s="98"/>
      <c r="P49" s="102"/>
      <c r="Q49" s="99"/>
      <c r="R49" s="99"/>
      <c r="S49" s="97"/>
      <c r="T49" s="97"/>
      <c r="U49" s="167"/>
    </row>
    <row r="50" spans="2:21" ht="15" customHeight="1" x14ac:dyDescent="0.2">
      <c r="B50" s="311"/>
      <c r="C50" s="160" t="s">
        <v>244</v>
      </c>
      <c r="D50" s="95" t="s">
        <v>93</v>
      </c>
      <c r="E50" s="96" t="s">
        <v>114</v>
      </c>
      <c r="F50" s="96" t="s">
        <v>114</v>
      </c>
      <c r="G50" s="96" t="s">
        <v>114</v>
      </c>
      <c r="H50" s="96" t="s">
        <v>114</v>
      </c>
      <c r="I50" s="96" t="s">
        <v>114</v>
      </c>
      <c r="J50" s="96" t="s">
        <v>114</v>
      </c>
      <c r="K50" s="96" t="s">
        <v>114</v>
      </c>
      <c r="L50" s="96" t="s">
        <v>114</v>
      </c>
      <c r="M50" s="96" t="s">
        <v>114</v>
      </c>
      <c r="N50" s="96"/>
      <c r="O50" s="98"/>
      <c r="P50" s="102"/>
      <c r="Q50" s="99"/>
      <c r="R50" s="99"/>
      <c r="S50" s="103"/>
      <c r="T50" s="103"/>
      <c r="U50" s="167"/>
    </row>
    <row r="51" spans="2:21" ht="15" customHeight="1" x14ac:dyDescent="0.2">
      <c r="B51" s="310">
        <v>45797</v>
      </c>
      <c r="C51" s="160" t="s">
        <v>229</v>
      </c>
      <c r="D51" s="95" t="s">
        <v>92</v>
      </c>
      <c r="E51" s="96" t="s">
        <v>114</v>
      </c>
      <c r="F51" s="96" t="s">
        <v>114</v>
      </c>
      <c r="G51" s="96" t="s">
        <v>114</v>
      </c>
      <c r="H51" s="96" t="s">
        <v>114</v>
      </c>
      <c r="I51" s="96" t="s">
        <v>114</v>
      </c>
      <c r="J51" s="96" t="s">
        <v>114</v>
      </c>
      <c r="K51" s="96" t="s">
        <v>114</v>
      </c>
      <c r="L51" s="96">
        <v>1799</v>
      </c>
      <c r="M51" s="96" t="s">
        <v>114</v>
      </c>
      <c r="N51" s="96">
        <v>1800</v>
      </c>
      <c r="O51" s="98"/>
      <c r="P51" s="102"/>
      <c r="Q51" s="99"/>
      <c r="R51" s="99"/>
      <c r="S51" s="97"/>
      <c r="T51" s="97"/>
      <c r="U51" s="167"/>
    </row>
    <row r="52" spans="2:21" ht="15" customHeight="1" x14ac:dyDescent="0.2">
      <c r="B52" s="311"/>
      <c r="C52" s="160" t="s">
        <v>244</v>
      </c>
      <c r="D52" s="95" t="s">
        <v>93</v>
      </c>
      <c r="E52" s="96" t="s">
        <v>114</v>
      </c>
      <c r="F52" s="96" t="s">
        <v>114</v>
      </c>
      <c r="G52" s="96" t="s">
        <v>114</v>
      </c>
      <c r="H52" s="96" t="s">
        <v>114</v>
      </c>
      <c r="I52" s="96" t="s">
        <v>114</v>
      </c>
      <c r="J52" s="96" t="s">
        <v>114</v>
      </c>
      <c r="K52" s="96" t="s">
        <v>114</v>
      </c>
      <c r="L52" s="96" t="s">
        <v>114</v>
      </c>
      <c r="M52" s="96" t="s">
        <v>114</v>
      </c>
      <c r="N52" s="96"/>
      <c r="O52" s="98"/>
      <c r="P52" s="102"/>
      <c r="Q52" s="99"/>
      <c r="R52" s="99"/>
      <c r="S52" s="103"/>
      <c r="T52" s="103"/>
      <c r="U52" s="167"/>
    </row>
    <row r="53" spans="2:21" ht="15" customHeight="1" x14ac:dyDescent="0.2">
      <c r="B53" s="310">
        <v>45798</v>
      </c>
      <c r="C53" s="160" t="s">
        <v>229</v>
      </c>
      <c r="D53" s="95" t="s">
        <v>92</v>
      </c>
      <c r="E53" s="96" t="s">
        <v>114</v>
      </c>
      <c r="F53" s="96" t="s">
        <v>114</v>
      </c>
      <c r="G53" s="96" t="s">
        <v>114</v>
      </c>
      <c r="H53" s="96" t="s">
        <v>114</v>
      </c>
      <c r="I53" s="96" t="s">
        <v>114</v>
      </c>
      <c r="J53" s="96" t="s">
        <v>114</v>
      </c>
      <c r="K53" s="96" t="s">
        <v>114</v>
      </c>
      <c r="L53" s="96">
        <v>1799</v>
      </c>
      <c r="M53" s="96" t="s">
        <v>114</v>
      </c>
      <c r="N53" s="96">
        <v>1800</v>
      </c>
      <c r="O53" s="98"/>
      <c r="P53" s="102"/>
      <c r="Q53" s="99"/>
      <c r="R53" s="99"/>
      <c r="S53" s="97"/>
      <c r="T53" s="97"/>
      <c r="U53" s="167"/>
    </row>
    <row r="54" spans="2:21" ht="15" customHeight="1" x14ac:dyDescent="0.2">
      <c r="B54" s="311"/>
      <c r="C54" s="160" t="s">
        <v>244</v>
      </c>
      <c r="D54" s="95" t="s">
        <v>93</v>
      </c>
      <c r="E54" s="96" t="s">
        <v>114</v>
      </c>
      <c r="F54" s="96" t="s">
        <v>114</v>
      </c>
      <c r="G54" s="96" t="s">
        <v>114</v>
      </c>
      <c r="H54" s="96" t="s">
        <v>114</v>
      </c>
      <c r="I54" s="96" t="s">
        <v>114</v>
      </c>
      <c r="J54" s="96" t="s">
        <v>114</v>
      </c>
      <c r="K54" s="96" t="s">
        <v>114</v>
      </c>
      <c r="L54" s="96" t="s">
        <v>114</v>
      </c>
      <c r="M54" s="96" t="s">
        <v>114</v>
      </c>
      <c r="N54" s="96"/>
      <c r="O54" s="98"/>
      <c r="P54" s="102"/>
      <c r="Q54" s="99"/>
      <c r="R54" s="99"/>
      <c r="S54" s="103"/>
      <c r="T54" s="103"/>
      <c r="U54" s="167"/>
    </row>
    <row r="55" spans="2:21" ht="15" customHeight="1" x14ac:dyDescent="0.2">
      <c r="B55" s="310">
        <v>45799</v>
      </c>
      <c r="C55" s="160" t="s">
        <v>229</v>
      </c>
      <c r="D55" s="95" t="s">
        <v>92</v>
      </c>
      <c r="E55" s="96" t="s">
        <v>114</v>
      </c>
      <c r="F55" s="96" t="s">
        <v>114</v>
      </c>
      <c r="G55" s="96" t="s">
        <v>114</v>
      </c>
      <c r="H55" s="96" t="s">
        <v>114</v>
      </c>
      <c r="I55" s="96" t="s">
        <v>114</v>
      </c>
      <c r="J55" s="96" t="s">
        <v>114</v>
      </c>
      <c r="K55" s="96" t="s">
        <v>114</v>
      </c>
      <c r="L55" s="96">
        <v>1799</v>
      </c>
      <c r="M55" s="96" t="s">
        <v>114</v>
      </c>
      <c r="N55" s="96">
        <v>1800</v>
      </c>
      <c r="O55" s="96" t="s">
        <v>114</v>
      </c>
      <c r="P55" s="96"/>
      <c r="Q55" s="99"/>
      <c r="R55" s="99"/>
      <c r="S55" s="97"/>
      <c r="T55" s="97"/>
      <c r="U55" s="167"/>
    </row>
    <row r="56" spans="2:21" ht="15" customHeight="1" x14ac:dyDescent="0.2">
      <c r="B56" s="311"/>
      <c r="C56" s="160" t="s">
        <v>244</v>
      </c>
      <c r="D56" s="95" t="s">
        <v>93</v>
      </c>
      <c r="E56" s="96" t="s">
        <v>228</v>
      </c>
      <c r="F56" s="184">
        <v>0.80208333333333337</v>
      </c>
      <c r="G56" s="96" t="s">
        <v>182</v>
      </c>
      <c r="H56" s="184">
        <v>0.89583333333333337</v>
      </c>
      <c r="I56" s="96">
        <v>97</v>
      </c>
      <c r="J56" s="96" t="s">
        <v>201</v>
      </c>
      <c r="K56" s="96">
        <v>130</v>
      </c>
      <c r="L56" s="96" t="s">
        <v>114</v>
      </c>
      <c r="M56" s="96" t="s">
        <v>114</v>
      </c>
      <c r="N56" s="96"/>
      <c r="O56" s="96" t="s">
        <v>114</v>
      </c>
      <c r="P56" s="96"/>
      <c r="Q56" s="99"/>
      <c r="R56" s="99"/>
      <c r="S56" s="97"/>
      <c r="T56" s="97"/>
      <c r="U56" s="167"/>
    </row>
    <row r="57" spans="2:21" ht="15" customHeight="1" x14ac:dyDescent="0.2">
      <c r="B57" s="310">
        <v>45800</v>
      </c>
      <c r="C57" s="160" t="s">
        <v>237</v>
      </c>
      <c r="D57" s="95" t="s">
        <v>92</v>
      </c>
      <c r="E57" s="96" t="s">
        <v>114</v>
      </c>
      <c r="F57" s="96" t="s">
        <v>114</v>
      </c>
      <c r="G57" s="96" t="s">
        <v>114</v>
      </c>
      <c r="H57" s="96" t="s">
        <v>114</v>
      </c>
      <c r="I57" s="96" t="s">
        <v>114</v>
      </c>
      <c r="J57" s="96" t="s">
        <v>114</v>
      </c>
      <c r="K57" s="96" t="s">
        <v>114</v>
      </c>
      <c r="L57" s="96" t="s">
        <v>114</v>
      </c>
      <c r="M57" s="96" t="s">
        <v>114</v>
      </c>
      <c r="N57" s="96" t="s">
        <v>114</v>
      </c>
      <c r="O57" s="98"/>
      <c r="P57" s="96"/>
      <c r="Q57" s="99"/>
      <c r="R57" s="99"/>
      <c r="S57" s="97"/>
      <c r="T57" s="97"/>
      <c r="U57" s="167"/>
    </row>
    <row r="58" spans="2:21" ht="15" customHeight="1" x14ac:dyDescent="0.2">
      <c r="B58" s="311"/>
      <c r="C58" s="160" t="s">
        <v>182</v>
      </c>
      <c r="D58" s="95" t="s">
        <v>93</v>
      </c>
      <c r="E58" s="96" t="s">
        <v>114</v>
      </c>
      <c r="F58" s="96" t="s">
        <v>114</v>
      </c>
      <c r="G58" s="96" t="s">
        <v>114</v>
      </c>
      <c r="H58" s="96" t="s">
        <v>114</v>
      </c>
      <c r="I58" s="96" t="s">
        <v>114</v>
      </c>
      <c r="J58" s="96" t="s">
        <v>114</v>
      </c>
      <c r="K58" s="96" t="s">
        <v>114</v>
      </c>
      <c r="L58" s="96" t="s">
        <v>114</v>
      </c>
      <c r="M58" s="96" t="s">
        <v>114</v>
      </c>
      <c r="N58" s="96"/>
      <c r="O58" s="98"/>
      <c r="P58" s="96"/>
      <c r="Q58" s="99"/>
      <c r="R58" s="99"/>
      <c r="S58" s="97"/>
      <c r="T58" s="97"/>
      <c r="U58" s="167"/>
    </row>
    <row r="59" spans="2:21" ht="15" customHeight="1" x14ac:dyDescent="0.2">
      <c r="B59" s="310">
        <v>45801</v>
      </c>
      <c r="C59" s="160" t="s">
        <v>198</v>
      </c>
      <c r="D59" s="95" t="s">
        <v>92</v>
      </c>
      <c r="E59" s="96" t="s">
        <v>114</v>
      </c>
      <c r="F59" s="96" t="s">
        <v>114</v>
      </c>
      <c r="G59" s="96" t="s">
        <v>114</v>
      </c>
      <c r="H59" s="96" t="s">
        <v>114</v>
      </c>
      <c r="I59" s="96" t="s">
        <v>114</v>
      </c>
      <c r="J59" s="96" t="s">
        <v>114</v>
      </c>
      <c r="K59" s="96" t="s">
        <v>114</v>
      </c>
      <c r="L59" s="96" t="s">
        <v>114</v>
      </c>
      <c r="M59" s="96" t="s">
        <v>114</v>
      </c>
      <c r="N59" s="96"/>
      <c r="O59" s="96" t="s">
        <v>114</v>
      </c>
      <c r="P59" s="96"/>
      <c r="Q59" s="99"/>
      <c r="R59" s="99"/>
      <c r="S59" s="97"/>
      <c r="T59" s="97"/>
      <c r="U59" s="167"/>
    </row>
    <row r="60" spans="2:21" ht="15" customHeight="1" x14ac:dyDescent="0.2">
      <c r="B60" s="311"/>
      <c r="C60" s="160" t="s">
        <v>198</v>
      </c>
      <c r="D60" s="95" t="s">
        <v>93</v>
      </c>
      <c r="E60" s="96" t="s">
        <v>114</v>
      </c>
      <c r="F60" s="96" t="s">
        <v>114</v>
      </c>
      <c r="G60" s="96" t="s">
        <v>114</v>
      </c>
      <c r="H60" s="96" t="s">
        <v>114</v>
      </c>
      <c r="I60" s="96" t="s">
        <v>114</v>
      </c>
      <c r="J60" s="96" t="s">
        <v>114</v>
      </c>
      <c r="K60" s="96" t="s">
        <v>114</v>
      </c>
      <c r="L60" s="96" t="s">
        <v>114</v>
      </c>
      <c r="M60" s="96" t="s">
        <v>114</v>
      </c>
      <c r="N60" s="96" t="s">
        <v>114</v>
      </c>
      <c r="O60" s="96" t="s">
        <v>114</v>
      </c>
      <c r="P60" s="96"/>
      <c r="Q60" s="99"/>
      <c r="R60" s="99"/>
      <c r="S60" s="97"/>
      <c r="T60" s="97"/>
      <c r="U60" s="167"/>
    </row>
    <row r="61" spans="2:21" ht="15" customHeight="1" x14ac:dyDescent="0.2">
      <c r="B61" s="310">
        <v>45802</v>
      </c>
      <c r="C61" s="160" t="s">
        <v>198</v>
      </c>
      <c r="D61" s="95" t="s">
        <v>92</v>
      </c>
      <c r="E61" s="96" t="s">
        <v>114</v>
      </c>
      <c r="F61" s="96" t="s">
        <v>114</v>
      </c>
      <c r="G61" s="96" t="s">
        <v>114</v>
      </c>
      <c r="H61" s="96" t="s">
        <v>114</v>
      </c>
      <c r="I61" s="96" t="s">
        <v>114</v>
      </c>
      <c r="J61" s="96" t="s">
        <v>114</v>
      </c>
      <c r="K61" s="96" t="s">
        <v>114</v>
      </c>
      <c r="L61" s="96" t="s">
        <v>114</v>
      </c>
      <c r="M61" s="96" t="s">
        <v>114</v>
      </c>
      <c r="N61" s="96" t="s">
        <v>114</v>
      </c>
      <c r="O61" s="96" t="s">
        <v>114</v>
      </c>
      <c r="P61" s="96"/>
      <c r="Q61" s="99"/>
      <c r="R61" s="99"/>
      <c r="S61" s="97"/>
      <c r="T61" s="97"/>
      <c r="U61" s="167"/>
    </row>
    <row r="62" spans="2:21" ht="15" customHeight="1" x14ac:dyDescent="0.2">
      <c r="B62" s="311"/>
      <c r="C62" s="160" t="s">
        <v>198</v>
      </c>
      <c r="D62" s="95" t="s">
        <v>93</v>
      </c>
      <c r="E62" s="96" t="s">
        <v>114</v>
      </c>
      <c r="F62" s="96" t="s">
        <v>114</v>
      </c>
      <c r="G62" s="96" t="s">
        <v>114</v>
      </c>
      <c r="H62" s="96" t="s">
        <v>114</v>
      </c>
      <c r="I62" s="96" t="s">
        <v>114</v>
      </c>
      <c r="J62" s="96" t="s">
        <v>114</v>
      </c>
      <c r="K62" s="96" t="s">
        <v>114</v>
      </c>
      <c r="L62" s="96" t="s">
        <v>114</v>
      </c>
      <c r="M62" s="96" t="s">
        <v>114</v>
      </c>
      <c r="N62" s="96" t="s">
        <v>114</v>
      </c>
      <c r="O62" s="96" t="s">
        <v>114</v>
      </c>
      <c r="P62" s="96"/>
      <c r="Q62" s="99"/>
      <c r="R62" s="99"/>
      <c r="S62" s="97"/>
      <c r="T62" s="97"/>
      <c r="U62" s="167"/>
    </row>
    <row r="63" spans="2:21" ht="15" customHeight="1" x14ac:dyDescent="0.2">
      <c r="B63" s="310">
        <v>45803</v>
      </c>
      <c r="C63" s="160" t="s">
        <v>197</v>
      </c>
      <c r="D63" s="95" t="s">
        <v>92</v>
      </c>
      <c r="E63" s="96" t="s">
        <v>182</v>
      </c>
      <c r="F63" s="184">
        <v>0.3611111111111111</v>
      </c>
      <c r="G63" s="96" t="s">
        <v>208</v>
      </c>
      <c r="H63" s="96" t="s">
        <v>203</v>
      </c>
      <c r="I63" s="96">
        <v>32</v>
      </c>
      <c r="J63" s="96" t="s">
        <v>201</v>
      </c>
      <c r="K63" s="96">
        <v>40</v>
      </c>
      <c r="L63" s="96" t="s">
        <v>114</v>
      </c>
      <c r="M63" s="96" t="s">
        <v>114</v>
      </c>
      <c r="N63" s="96">
        <v>1800</v>
      </c>
      <c r="O63" s="96" t="s">
        <v>114</v>
      </c>
      <c r="P63" s="96"/>
      <c r="Q63" s="99"/>
      <c r="R63" s="99"/>
      <c r="S63" s="97"/>
      <c r="T63" s="97"/>
      <c r="U63" s="167"/>
    </row>
    <row r="64" spans="2:21" ht="15" customHeight="1" x14ac:dyDescent="0.2">
      <c r="B64" s="311"/>
      <c r="C64" s="160" t="s">
        <v>215</v>
      </c>
      <c r="D64" s="95" t="s">
        <v>93</v>
      </c>
      <c r="E64" s="96" t="s">
        <v>208</v>
      </c>
      <c r="F64" s="184">
        <v>0.78541666666666665</v>
      </c>
      <c r="G64" s="96" t="s">
        <v>182</v>
      </c>
      <c r="H64" s="184">
        <v>0.83333333333333337</v>
      </c>
      <c r="I64" s="96">
        <v>32</v>
      </c>
      <c r="J64" s="96" t="s">
        <v>201</v>
      </c>
      <c r="K64" s="96">
        <v>40</v>
      </c>
      <c r="L64" s="96" t="s">
        <v>114</v>
      </c>
      <c r="M64" s="96" t="s">
        <v>114</v>
      </c>
      <c r="N64" s="96" t="s">
        <v>114</v>
      </c>
      <c r="O64" s="96" t="s">
        <v>114</v>
      </c>
      <c r="P64" s="96"/>
      <c r="Q64" s="99"/>
      <c r="R64" s="99"/>
      <c r="S64" s="97"/>
      <c r="T64" s="97"/>
      <c r="U64" s="167"/>
    </row>
    <row r="65" spans="2:24" ht="15" customHeight="1" x14ac:dyDescent="0.2">
      <c r="B65" s="310">
        <v>45804</v>
      </c>
      <c r="C65" s="160" t="s">
        <v>197</v>
      </c>
      <c r="D65" s="95" t="s">
        <v>92</v>
      </c>
      <c r="E65" s="96" t="s">
        <v>182</v>
      </c>
      <c r="F65" s="184">
        <v>0.36249999999999999</v>
      </c>
      <c r="G65" s="96" t="s">
        <v>208</v>
      </c>
      <c r="H65" s="96" t="s">
        <v>203</v>
      </c>
      <c r="I65" s="96">
        <v>32</v>
      </c>
      <c r="J65" s="96" t="s">
        <v>201</v>
      </c>
      <c r="K65" s="96">
        <v>40</v>
      </c>
      <c r="L65" s="96" t="s">
        <v>114</v>
      </c>
      <c r="M65" s="96" t="s">
        <v>114</v>
      </c>
      <c r="N65" s="96">
        <v>1800</v>
      </c>
      <c r="O65" s="96" t="s">
        <v>114</v>
      </c>
      <c r="P65" s="102"/>
      <c r="Q65" s="99"/>
      <c r="R65" s="99"/>
      <c r="S65" s="97"/>
      <c r="T65" s="97"/>
      <c r="U65" s="167"/>
    </row>
    <row r="66" spans="2:24" x14ac:dyDescent="0.2">
      <c r="B66" s="311"/>
      <c r="C66" s="160" t="s">
        <v>215</v>
      </c>
      <c r="D66" s="95" t="s">
        <v>93</v>
      </c>
      <c r="E66" s="96" t="s">
        <v>208</v>
      </c>
      <c r="F66" s="184">
        <v>0.72986111111111107</v>
      </c>
      <c r="G66" s="96" t="s">
        <v>182</v>
      </c>
      <c r="H66" s="184">
        <v>0.77083333333333337</v>
      </c>
      <c r="I66" s="96">
        <v>32</v>
      </c>
      <c r="J66" s="96" t="s">
        <v>201</v>
      </c>
      <c r="K66" s="96">
        <v>45</v>
      </c>
      <c r="L66" s="96" t="s">
        <v>114</v>
      </c>
      <c r="M66" s="96" t="s">
        <v>114</v>
      </c>
      <c r="N66" s="96" t="s">
        <v>114</v>
      </c>
      <c r="O66" s="96" t="s">
        <v>114</v>
      </c>
      <c r="P66" s="102"/>
      <c r="Q66" s="99"/>
      <c r="R66" s="99"/>
      <c r="S66" s="97"/>
      <c r="T66" s="97"/>
      <c r="U66" s="167"/>
      <c r="X66" s="42"/>
    </row>
    <row r="67" spans="2:24" ht="15" customHeight="1" x14ac:dyDescent="0.2">
      <c r="B67" s="310">
        <v>45805</v>
      </c>
      <c r="C67" s="160" t="s">
        <v>197</v>
      </c>
      <c r="D67" s="95" t="s">
        <v>92</v>
      </c>
      <c r="E67" s="96" t="s">
        <v>182</v>
      </c>
      <c r="F67" s="96" t="s">
        <v>245</v>
      </c>
      <c r="G67" s="96" t="s">
        <v>208</v>
      </c>
      <c r="H67" s="96" t="s">
        <v>203</v>
      </c>
      <c r="I67" s="96">
        <v>32</v>
      </c>
      <c r="J67" s="96" t="s">
        <v>201</v>
      </c>
      <c r="K67" s="96">
        <v>45</v>
      </c>
      <c r="L67" s="96" t="s">
        <v>114</v>
      </c>
      <c r="M67" s="96" t="s">
        <v>114</v>
      </c>
      <c r="N67" s="96">
        <v>1800</v>
      </c>
      <c r="O67" s="96" t="s">
        <v>114</v>
      </c>
      <c r="P67" s="96"/>
      <c r="Q67" s="99"/>
      <c r="R67" s="99"/>
      <c r="S67" s="97"/>
      <c r="T67" s="97"/>
      <c r="U67" s="167"/>
    </row>
    <row r="68" spans="2:24" x14ac:dyDescent="0.2">
      <c r="B68" s="311"/>
      <c r="C68" s="160" t="s">
        <v>216</v>
      </c>
      <c r="D68" s="95" t="s">
        <v>93</v>
      </c>
      <c r="E68" s="96" t="s">
        <v>208</v>
      </c>
      <c r="F68" s="96" t="s">
        <v>246</v>
      </c>
      <c r="G68" s="96" t="s">
        <v>182</v>
      </c>
      <c r="H68" s="96" t="s">
        <v>204</v>
      </c>
      <c r="I68" s="96">
        <v>32</v>
      </c>
      <c r="J68" s="96" t="s">
        <v>201</v>
      </c>
      <c r="K68" s="96">
        <v>45</v>
      </c>
      <c r="L68" s="96" t="s">
        <v>114</v>
      </c>
      <c r="M68" s="96" t="s">
        <v>114</v>
      </c>
      <c r="N68" s="96" t="s">
        <v>114</v>
      </c>
      <c r="O68" s="96" t="s">
        <v>114</v>
      </c>
      <c r="P68" s="96"/>
      <c r="Q68" s="99"/>
      <c r="R68" s="99"/>
      <c r="S68" s="97"/>
      <c r="T68" s="97"/>
      <c r="U68" s="167"/>
    </row>
    <row r="69" spans="2:24" ht="15" customHeight="1" x14ac:dyDescent="0.2">
      <c r="B69" s="310">
        <v>45806</v>
      </c>
      <c r="C69" s="160" t="s">
        <v>197</v>
      </c>
      <c r="D69" s="95" t="s">
        <v>92</v>
      </c>
      <c r="E69" s="96" t="s">
        <v>182</v>
      </c>
      <c r="F69" s="96" t="s">
        <v>220</v>
      </c>
      <c r="G69" s="96" t="s">
        <v>209</v>
      </c>
      <c r="H69" s="96" t="s">
        <v>221</v>
      </c>
      <c r="I69" s="96">
        <v>53</v>
      </c>
      <c r="J69" s="96" t="s">
        <v>201</v>
      </c>
      <c r="K69" s="96">
        <v>85</v>
      </c>
      <c r="L69" s="96" t="s">
        <v>114</v>
      </c>
      <c r="M69" s="96" t="s">
        <v>114</v>
      </c>
      <c r="N69" s="96">
        <v>1800</v>
      </c>
      <c r="O69" s="96"/>
      <c r="P69" s="100"/>
      <c r="Q69" s="101"/>
      <c r="R69" s="101"/>
      <c r="S69" s="97"/>
      <c r="T69" s="97"/>
      <c r="U69" s="169"/>
    </row>
    <row r="70" spans="2:24" ht="15" customHeight="1" x14ac:dyDescent="0.2">
      <c r="B70" s="311"/>
      <c r="C70" s="160" t="s">
        <v>247</v>
      </c>
      <c r="D70" s="95" t="s">
        <v>93</v>
      </c>
      <c r="E70" s="96" t="s">
        <v>209</v>
      </c>
      <c r="F70" s="96" t="s">
        <v>218</v>
      </c>
      <c r="G70" s="96" t="s">
        <v>182</v>
      </c>
      <c r="H70" s="96" t="s">
        <v>219</v>
      </c>
      <c r="I70" s="96">
        <v>53</v>
      </c>
      <c r="J70" s="96" t="s">
        <v>201</v>
      </c>
      <c r="K70" s="96">
        <v>150</v>
      </c>
      <c r="L70" s="96" t="s">
        <v>114</v>
      </c>
      <c r="M70" s="96" t="s">
        <v>114</v>
      </c>
      <c r="N70" s="96"/>
      <c r="O70" s="96"/>
      <c r="P70" s="100"/>
      <c r="Q70" s="101"/>
      <c r="R70" s="101"/>
      <c r="S70" s="97"/>
      <c r="T70" s="97"/>
      <c r="U70" s="169"/>
    </row>
    <row r="71" spans="2:24" ht="15" customHeight="1" x14ac:dyDescent="0.2">
      <c r="B71" s="310">
        <v>45807</v>
      </c>
      <c r="C71" s="160" t="s">
        <v>197</v>
      </c>
      <c r="D71" s="95" t="s">
        <v>92</v>
      </c>
      <c r="E71" s="96" t="s">
        <v>182</v>
      </c>
      <c r="F71" s="184">
        <v>0.36458333333333331</v>
      </c>
      <c r="G71" s="96" t="s">
        <v>209</v>
      </c>
      <c r="H71" s="184">
        <v>0.40625</v>
      </c>
      <c r="I71" s="96">
        <v>53</v>
      </c>
      <c r="J71" s="96" t="s">
        <v>114</v>
      </c>
      <c r="K71" s="96">
        <v>85</v>
      </c>
      <c r="L71" s="96" t="s">
        <v>114</v>
      </c>
      <c r="M71" s="96" t="s">
        <v>114</v>
      </c>
      <c r="N71" s="96">
        <v>1800</v>
      </c>
      <c r="O71" s="96"/>
      <c r="P71" s="100"/>
      <c r="Q71" s="101"/>
      <c r="R71" s="101"/>
      <c r="S71" s="97"/>
      <c r="T71" s="97"/>
      <c r="U71" s="169"/>
    </row>
    <row r="72" spans="2:24" ht="15" customHeight="1" x14ac:dyDescent="0.2">
      <c r="B72" s="311"/>
      <c r="C72" s="160" t="s">
        <v>247</v>
      </c>
      <c r="D72" s="95" t="s">
        <v>93</v>
      </c>
      <c r="E72" s="96" t="s">
        <v>209</v>
      </c>
      <c r="F72" s="184">
        <v>0.73124999999999996</v>
      </c>
      <c r="G72" s="96" t="s">
        <v>182</v>
      </c>
      <c r="H72" s="184">
        <v>0.7729166666666667</v>
      </c>
      <c r="I72" s="96">
        <v>53</v>
      </c>
      <c r="J72" s="96" t="s">
        <v>114</v>
      </c>
      <c r="K72" s="96">
        <v>170</v>
      </c>
      <c r="L72" s="96" t="s">
        <v>114</v>
      </c>
      <c r="M72" s="96" t="s">
        <v>114</v>
      </c>
      <c r="N72" s="96"/>
      <c r="O72" s="96"/>
      <c r="P72" s="100"/>
      <c r="Q72" s="101"/>
      <c r="R72" s="101"/>
      <c r="S72" s="97"/>
      <c r="T72" s="97"/>
      <c r="U72" s="169"/>
    </row>
    <row r="73" spans="2:24" x14ac:dyDescent="0.2">
      <c r="B73" s="310">
        <v>45808</v>
      </c>
      <c r="C73" s="160" t="s">
        <v>197</v>
      </c>
      <c r="D73" s="95" t="s">
        <v>92</v>
      </c>
      <c r="E73" s="96" t="s">
        <v>182</v>
      </c>
      <c r="F73" s="184">
        <v>0.36458333333333331</v>
      </c>
      <c r="G73" s="96" t="s">
        <v>209</v>
      </c>
      <c r="H73" s="184">
        <v>0.40625</v>
      </c>
      <c r="I73" s="96">
        <v>53</v>
      </c>
      <c r="J73" s="96" t="s">
        <v>114</v>
      </c>
      <c r="K73" s="96">
        <v>85</v>
      </c>
      <c r="L73" s="96" t="s">
        <v>114</v>
      </c>
      <c r="M73" s="96" t="s">
        <v>114</v>
      </c>
      <c r="N73" s="96">
        <v>1800</v>
      </c>
      <c r="O73" s="96"/>
      <c r="P73" s="100"/>
      <c r="Q73" s="101"/>
      <c r="R73" s="101"/>
      <c r="S73" s="97"/>
      <c r="T73" s="97"/>
      <c r="U73" s="169"/>
    </row>
    <row r="74" spans="2:24" ht="11.25" customHeight="1" x14ac:dyDescent="0.2">
      <c r="B74" s="311"/>
      <c r="C74" s="160" t="s">
        <v>247</v>
      </c>
      <c r="D74" s="95" t="s">
        <v>93</v>
      </c>
      <c r="E74" s="96" t="s">
        <v>209</v>
      </c>
      <c r="F74" s="184">
        <v>0.79166666666666663</v>
      </c>
      <c r="G74" s="96" t="s">
        <v>182</v>
      </c>
      <c r="H74" s="184">
        <v>0.83333333333333337</v>
      </c>
      <c r="I74" s="96">
        <v>53</v>
      </c>
      <c r="J74" s="96" t="s">
        <v>114</v>
      </c>
      <c r="K74" s="96">
        <v>140</v>
      </c>
      <c r="L74" s="96" t="s">
        <v>114</v>
      </c>
      <c r="M74" s="96" t="s">
        <v>114</v>
      </c>
      <c r="N74" s="96"/>
      <c r="O74" s="96"/>
      <c r="P74" s="100"/>
      <c r="Q74" s="101"/>
      <c r="R74" s="101"/>
      <c r="S74" s="97"/>
      <c r="T74" s="97"/>
      <c r="U74" s="169"/>
    </row>
    <row r="75" spans="2:24" s="77" customFormat="1" ht="12" thickBot="1" x14ac:dyDescent="0.25">
      <c r="B75" s="340" t="s">
        <v>95</v>
      </c>
      <c r="C75" s="341"/>
      <c r="D75" s="140"/>
      <c r="E75" s="140"/>
      <c r="F75" s="140"/>
      <c r="G75" s="140"/>
      <c r="H75" s="140"/>
      <c r="I75" s="140"/>
      <c r="J75" s="141"/>
      <c r="K75" s="153">
        <f>SUM(K13:K74)</f>
        <v>1885</v>
      </c>
      <c r="L75" s="153">
        <f>SUM(L13:L74)</f>
        <v>12488</v>
      </c>
      <c r="M75" s="153">
        <f>SUM(M13:M74)</f>
        <v>0</v>
      </c>
      <c r="N75" s="153">
        <f>SUM(N13:N74)</f>
        <v>37800</v>
      </c>
      <c r="O75" s="106"/>
      <c r="P75" s="107" t="s">
        <v>96</v>
      </c>
      <c r="Q75" s="106">
        <f>K75+L75+M75+N75</f>
        <v>52173</v>
      </c>
      <c r="R75" s="108"/>
      <c r="S75" s="142"/>
      <c r="T75" s="342" t="s">
        <v>94</v>
      </c>
      <c r="U75" s="343"/>
    </row>
    <row r="76" spans="2:24" x14ac:dyDescent="0.2">
      <c r="K76" s="42"/>
      <c r="N76" s="42"/>
      <c r="R76" s="109"/>
    </row>
    <row r="77" spans="2:24" x14ac:dyDescent="0.2">
      <c r="B77" s="2" t="s">
        <v>58</v>
      </c>
      <c r="C77" s="2" t="s">
        <v>182</v>
      </c>
      <c r="D77" s="81" t="s">
        <v>94</v>
      </c>
      <c r="E77" s="81"/>
      <c r="X77" s="2" t="s">
        <v>97</v>
      </c>
    </row>
    <row r="78" spans="2:24" x14ac:dyDescent="0.2">
      <c r="B78" s="2" t="s">
        <v>193</v>
      </c>
      <c r="C78" s="110" t="s">
        <v>213</v>
      </c>
      <c r="D78" s="76"/>
      <c r="S78" s="338"/>
      <c r="T78" s="338"/>
      <c r="U78" s="338"/>
    </row>
    <row r="79" spans="2:24" x14ac:dyDescent="0.2">
      <c r="D79" s="137" t="s">
        <v>94</v>
      </c>
      <c r="E79" s="137"/>
      <c r="S79" s="339" t="s">
        <v>94</v>
      </c>
      <c r="T79" s="339"/>
      <c r="U79" s="339"/>
    </row>
    <row r="81" spans="14:14" x14ac:dyDescent="0.2">
      <c r="N81" s="2" t="s">
        <v>94</v>
      </c>
    </row>
  </sheetData>
  <sheetProtection selectLockedCells="1" selectUnlockedCells="1"/>
  <mergeCells count="58">
    <mergeCell ref="B49:B50"/>
    <mergeCell ref="B51:B52"/>
    <mergeCell ref="B53:B54"/>
    <mergeCell ref="S78:U78"/>
    <mergeCell ref="S79:U79"/>
    <mergeCell ref="B75:C75"/>
    <mergeCell ref="T75:U75"/>
    <mergeCell ref="B59:B60"/>
    <mergeCell ref="B61:B62"/>
    <mergeCell ref="B69:B70"/>
    <mergeCell ref="B73:B74"/>
    <mergeCell ref="B39:B40"/>
    <mergeCell ref="B35:B36"/>
    <mergeCell ref="E10:F10"/>
    <mergeCell ref="B37:B38"/>
    <mergeCell ref="B65:B66"/>
    <mergeCell ref="B67:B68"/>
    <mergeCell ref="B41:B42"/>
    <mergeCell ref="B47:B48"/>
    <mergeCell ref="C10:D11"/>
    <mergeCell ref="H8:M8"/>
    <mergeCell ref="C9:D9"/>
    <mergeCell ref="E9:O9"/>
    <mergeCell ref="B21:B22"/>
    <mergeCell ref="B15:B16"/>
    <mergeCell ref="B17:B18"/>
    <mergeCell ref="G10:H10"/>
    <mergeCell ref="B13:B14"/>
    <mergeCell ref="P9:R9"/>
    <mergeCell ref="S9:T9"/>
    <mergeCell ref="U9:U11"/>
    <mergeCell ref="B10:B11"/>
    <mergeCell ref="U13:U26"/>
    <mergeCell ref="B23:B24"/>
    <mergeCell ref="B25:B26"/>
    <mergeCell ref="B19:B20"/>
    <mergeCell ref="B6:C6"/>
    <mergeCell ref="D6:E6"/>
    <mergeCell ref="H6:I6"/>
    <mergeCell ref="L6:M6"/>
    <mergeCell ref="N6:P6"/>
    <mergeCell ref="R6:T6"/>
    <mergeCell ref="B1:U1"/>
    <mergeCell ref="B2:T2"/>
    <mergeCell ref="B3:U3"/>
    <mergeCell ref="B4:K4"/>
    <mergeCell ref="L4:M4"/>
    <mergeCell ref="R4:T4"/>
    <mergeCell ref="B27:B28"/>
    <mergeCell ref="B29:B30"/>
    <mergeCell ref="B31:B32"/>
    <mergeCell ref="B33:B34"/>
    <mergeCell ref="B71:B72"/>
    <mergeCell ref="B55:B56"/>
    <mergeCell ref="B43:B44"/>
    <mergeCell ref="B57:B58"/>
    <mergeCell ref="B45:B46"/>
    <mergeCell ref="B63:B64"/>
  </mergeCells>
  <pageMargins left="0.23622047244094491" right="0.23622047244094491" top="0.74803149606299213" bottom="0.55118110236220474" header="0.31496062992125984" footer="0.31496062992125984"/>
  <pageSetup paperSize="9" scale="50" firstPageNumber="0" fitToHeight="0" orientation="landscape" useFirstPageNumber="1" r:id="rId1"/>
  <headerFooter alignWithMargins="0">
    <oddFooter>&amp;C&amp;"Calibri,Regular"&amp;11Page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43"/>
  <sheetViews>
    <sheetView zoomScaleNormal="100" workbookViewId="0">
      <selection activeCell="R11" sqref="R11:R12"/>
    </sheetView>
  </sheetViews>
  <sheetFormatPr defaultColWidth="8.5703125" defaultRowHeight="12" customHeight="1" x14ac:dyDescent="0.2"/>
  <cols>
    <col min="1" max="1" width="1.85546875" style="75" customWidth="1"/>
    <col min="2" max="2" width="9.5703125" style="75" customWidth="1"/>
    <col min="3" max="3" width="8" style="75" customWidth="1"/>
    <col min="4" max="4" width="6.85546875" style="75" customWidth="1"/>
    <col min="5" max="5" width="6.5703125" style="75" customWidth="1"/>
    <col min="6" max="6" width="5.42578125" style="75" customWidth="1"/>
    <col min="7" max="7" width="12.85546875" style="75" customWidth="1"/>
    <col min="8" max="8" width="12" style="75" customWidth="1"/>
    <col min="9" max="9" width="11.5703125" style="75" bestFit="1" customWidth="1"/>
    <col min="10" max="10" width="9.140625" style="75" customWidth="1"/>
    <col min="11" max="11" width="10.140625" style="75" customWidth="1"/>
    <col min="12" max="12" width="13.42578125" style="75" customWidth="1"/>
    <col min="13" max="13" width="12" style="75" customWidth="1"/>
    <col min="14" max="14" width="1" style="75" customWidth="1"/>
    <col min="15" max="15" width="9.5703125" style="75" customWidth="1"/>
    <col min="16" max="16" width="11" style="75" customWidth="1"/>
    <col min="17" max="17" width="12" style="75" customWidth="1"/>
    <col min="18" max="18" width="18.140625" style="75" bestFit="1" customWidth="1"/>
    <col min="19" max="19" width="7.5703125" style="75" customWidth="1"/>
    <col min="20" max="20" width="10.140625" style="75" customWidth="1"/>
    <col min="21" max="21" width="1.42578125" style="75" customWidth="1"/>
    <col min="22" max="16384" width="8.5703125" style="75"/>
  </cols>
  <sheetData>
    <row r="1" spans="2:20" s="2" customFormat="1" ht="20.25" customHeight="1" x14ac:dyDescent="0.2">
      <c r="B1" s="1" t="s">
        <v>4</v>
      </c>
      <c r="C1" s="344" t="s">
        <v>248</v>
      </c>
      <c r="D1" s="344"/>
      <c r="E1" s="344"/>
      <c r="F1" s="344"/>
      <c r="G1" s="344"/>
      <c r="P1" s="3" t="s">
        <v>14</v>
      </c>
      <c r="Q1" s="345" t="s">
        <v>10</v>
      </c>
      <c r="R1" s="345"/>
      <c r="T1" s="4" t="s">
        <v>64</v>
      </c>
    </row>
    <row r="2" spans="2:20" s="2" customFormat="1" ht="12.75" customHeight="1" x14ac:dyDescent="0.2">
      <c r="B2" s="2" t="s">
        <v>11</v>
      </c>
      <c r="C2" s="346" t="s">
        <v>192</v>
      </c>
      <c r="D2" s="346"/>
      <c r="E2" s="346"/>
      <c r="F2" s="346"/>
      <c r="K2" s="2" t="s">
        <v>99</v>
      </c>
      <c r="P2" s="4"/>
      <c r="Q2" s="5" t="s">
        <v>100</v>
      </c>
      <c r="R2" s="5"/>
    </row>
    <row r="3" spans="2:20" s="2" customFormat="1" ht="12.75" customHeight="1" x14ac:dyDescent="0.2">
      <c r="B3" s="2" t="s">
        <v>101</v>
      </c>
      <c r="C3" s="347" t="str">
        <f>Sheet1!D11</f>
        <v>KURNOOL</v>
      </c>
      <c r="D3" s="347"/>
      <c r="E3" s="347"/>
      <c r="F3" s="347"/>
      <c r="Q3" s="6" t="s">
        <v>94</v>
      </c>
      <c r="R3" s="7"/>
      <c r="T3" s="4"/>
    </row>
    <row r="4" spans="2:20" s="2" customFormat="1" ht="15" customHeight="1" thickBot="1" x14ac:dyDescent="0.25">
      <c r="B4" s="8" t="s">
        <v>102</v>
      </c>
      <c r="I4" s="8" t="s">
        <v>103</v>
      </c>
    </row>
    <row r="5" spans="2:20" s="2" customFormat="1" ht="44.25" customHeight="1" thickTop="1" thickBot="1" x14ac:dyDescent="0.25">
      <c r="B5" s="348" t="s">
        <v>104</v>
      </c>
      <c r="C5" s="348"/>
      <c r="D5" s="348"/>
      <c r="E5" s="348"/>
      <c r="F5" s="348"/>
      <c r="G5" s="348"/>
      <c r="H5" s="9"/>
      <c r="I5" s="348" t="s">
        <v>105</v>
      </c>
      <c r="J5" s="348"/>
      <c r="K5" s="348"/>
      <c r="L5" s="348"/>
      <c r="M5" s="348"/>
      <c r="N5" s="10"/>
      <c r="O5" s="349"/>
      <c r="P5" s="349"/>
      <c r="Q5" s="349"/>
      <c r="R5" s="349"/>
      <c r="S5" s="349"/>
      <c r="T5" s="349"/>
    </row>
    <row r="6" spans="2:20" s="13" customFormat="1" ht="29.25" customHeight="1" thickTop="1" thickBot="1" x14ac:dyDescent="0.25">
      <c r="B6" s="11" t="s">
        <v>28</v>
      </c>
      <c r="C6" s="351" t="s">
        <v>106</v>
      </c>
      <c r="D6" s="351"/>
      <c r="E6" s="351"/>
      <c r="F6" s="351"/>
      <c r="G6" s="12" t="s">
        <v>107</v>
      </c>
      <c r="I6" s="14" t="s">
        <v>28</v>
      </c>
      <c r="J6" s="352" t="s">
        <v>108</v>
      </c>
      <c r="K6" s="352"/>
      <c r="L6" s="15" t="s">
        <v>109</v>
      </c>
      <c r="M6" s="16" t="s">
        <v>110</v>
      </c>
      <c r="N6" s="17"/>
      <c r="O6" s="353" t="s">
        <v>111</v>
      </c>
      <c r="P6" s="353"/>
      <c r="Q6" s="353"/>
      <c r="R6" s="18" t="s">
        <v>112</v>
      </c>
      <c r="S6" s="354" t="s">
        <v>113</v>
      </c>
      <c r="T6" s="354"/>
    </row>
    <row r="7" spans="2:20" s="2" customFormat="1" ht="14.1" customHeight="1" thickTop="1" thickBot="1" x14ac:dyDescent="0.25">
      <c r="B7" s="19"/>
      <c r="C7" s="355" t="s">
        <v>114</v>
      </c>
      <c r="D7" s="355"/>
      <c r="E7" s="355"/>
      <c r="F7" s="355"/>
      <c r="G7" s="20" t="s">
        <v>114</v>
      </c>
      <c r="I7" s="21"/>
      <c r="J7" s="356"/>
      <c r="K7" s="357"/>
      <c r="L7" s="22" t="s">
        <v>114</v>
      </c>
      <c r="M7" s="23" t="s">
        <v>114</v>
      </c>
      <c r="N7" s="24"/>
      <c r="O7" s="358" t="s">
        <v>115</v>
      </c>
      <c r="P7" s="358"/>
      <c r="Q7" s="358"/>
      <c r="R7" s="359">
        <f>Sheet2!K75</f>
        <v>1885</v>
      </c>
      <c r="S7" s="360"/>
      <c r="T7" s="360"/>
    </row>
    <row r="8" spans="2:20" s="2" customFormat="1" ht="12.75" customHeight="1" thickTop="1" x14ac:dyDescent="0.2">
      <c r="B8" s="25"/>
      <c r="C8" s="350"/>
      <c r="D8" s="350"/>
      <c r="E8" s="350"/>
      <c r="F8" s="350"/>
      <c r="G8" s="27"/>
      <c r="I8" s="28"/>
      <c r="J8" s="350"/>
      <c r="K8" s="350"/>
      <c r="L8" s="29"/>
      <c r="M8" s="27"/>
      <c r="N8" s="24"/>
      <c r="O8" s="358"/>
      <c r="P8" s="358"/>
      <c r="Q8" s="358"/>
      <c r="R8" s="359"/>
      <c r="S8" s="360"/>
      <c r="T8" s="360"/>
    </row>
    <row r="9" spans="2:20" s="2" customFormat="1" ht="14.1" customHeight="1" x14ac:dyDescent="0.2">
      <c r="B9" s="25"/>
      <c r="C9" s="350"/>
      <c r="D9" s="350"/>
      <c r="E9" s="350"/>
      <c r="F9" s="350"/>
      <c r="G9" s="27"/>
      <c r="I9" s="30"/>
      <c r="J9" s="350"/>
      <c r="K9" s="350"/>
      <c r="L9" s="29"/>
      <c r="M9" s="27"/>
      <c r="N9" s="24"/>
      <c r="O9" s="363" t="s">
        <v>116</v>
      </c>
      <c r="P9" s="363"/>
      <c r="Q9" s="363"/>
      <c r="R9" s="364">
        <v>12488</v>
      </c>
      <c r="S9" s="361"/>
      <c r="T9" s="361"/>
    </row>
    <row r="10" spans="2:20" s="2" customFormat="1" ht="12.75" customHeight="1" x14ac:dyDescent="0.2">
      <c r="B10" s="25"/>
      <c r="C10" s="350"/>
      <c r="D10" s="350"/>
      <c r="E10" s="350"/>
      <c r="F10" s="350"/>
      <c r="G10" s="27"/>
      <c r="I10" s="30"/>
      <c r="J10" s="350"/>
      <c r="K10" s="350"/>
      <c r="L10" s="29"/>
      <c r="M10" s="27"/>
      <c r="N10" s="24"/>
      <c r="O10" s="363"/>
      <c r="P10" s="363"/>
      <c r="Q10" s="363"/>
      <c r="R10" s="364"/>
      <c r="S10" s="361"/>
      <c r="T10" s="361"/>
    </row>
    <row r="11" spans="2:20" s="2" customFormat="1" ht="15" customHeight="1" x14ac:dyDescent="0.2">
      <c r="B11" s="25"/>
      <c r="C11" s="350"/>
      <c r="D11" s="350"/>
      <c r="E11" s="350"/>
      <c r="F11" s="350"/>
      <c r="G11" s="27"/>
      <c r="I11" s="25"/>
      <c r="J11" s="350"/>
      <c r="K11" s="350"/>
      <c r="L11" s="29"/>
      <c r="M11" s="27"/>
      <c r="N11" s="24"/>
      <c r="O11" s="363" t="s">
        <v>117</v>
      </c>
      <c r="P11" s="363"/>
      <c r="Q11" s="363"/>
      <c r="R11" s="364">
        <f>Sheet2!M75</f>
        <v>0</v>
      </c>
      <c r="S11" s="361"/>
      <c r="T11" s="361"/>
    </row>
    <row r="12" spans="2:20" s="2" customFormat="1" ht="12.75" customHeight="1" x14ac:dyDescent="0.2">
      <c r="B12" s="25"/>
      <c r="C12" s="350"/>
      <c r="D12" s="350"/>
      <c r="E12" s="350"/>
      <c r="F12" s="350"/>
      <c r="G12" s="27"/>
      <c r="I12" s="25"/>
      <c r="J12" s="350"/>
      <c r="K12" s="350"/>
      <c r="L12" s="29"/>
      <c r="M12" s="27"/>
      <c r="N12" s="24"/>
      <c r="O12" s="363"/>
      <c r="P12" s="363"/>
      <c r="Q12" s="363"/>
      <c r="R12" s="364"/>
      <c r="S12" s="361"/>
      <c r="T12" s="361"/>
    </row>
    <row r="13" spans="2:20" s="2" customFormat="1" ht="15.75" customHeight="1" thickBot="1" x14ac:dyDescent="0.25">
      <c r="B13" s="31"/>
      <c r="C13" s="365"/>
      <c r="D13" s="365"/>
      <c r="E13" s="365"/>
      <c r="F13" s="365"/>
      <c r="G13" s="33"/>
      <c r="I13" s="34"/>
      <c r="J13" s="366"/>
      <c r="K13" s="366"/>
      <c r="L13" s="35"/>
      <c r="M13" s="36"/>
      <c r="N13" s="24"/>
      <c r="O13" s="363" t="s">
        <v>118</v>
      </c>
      <c r="P13" s="363"/>
      <c r="Q13" s="363"/>
      <c r="R13" s="364">
        <f>Sheet2!N75</f>
        <v>37800</v>
      </c>
      <c r="S13" s="361"/>
      <c r="T13" s="361"/>
    </row>
    <row r="14" spans="2:20" s="2" customFormat="1" ht="15" customHeight="1" thickTop="1" thickBot="1" x14ac:dyDescent="0.25">
      <c r="B14" s="37"/>
      <c r="C14" s="362" t="s">
        <v>119</v>
      </c>
      <c r="D14" s="362"/>
      <c r="E14" s="362"/>
      <c r="F14" s="362"/>
      <c r="G14" s="38" t="s">
        <v>114</v>
      </c>
      <c r="H14" s="39"/>
      <c r="I14" s="40"/>
      <c r="J14" s="362" t="s">
        <v>119</v>
      </c>
      <c r="K14" s="362"/>
      <c r="L14" s="41" t="s">
        <v>114</v>
      </c>
      <c r="M14" s="38" t="s">
        <v>114</v>
      </c>
      <c r="N14" s="24"/>
      <c r="O14" s="363"/>
      <c r="P14" s="363"/>
      <c r="Q14" s="363"/>
      <c r="R14" s="364"/>
      <c r="S14" s="361"/>
      <c r="T14" s="361"/>
    </row>
    <row r="15" spans="2:20" s="2" customFormat="1" ht="15" customHeight="1" thickTop="1" x14ac:dyDescent="0.2">
      <c r="M15" s="42"/>
      <c r="O15" s="363" t="s">
        <v>120</v>
      </c>
      <c r="P15" s="363"/>
      <c r="Q15" s="363"/>
      <c r="R15" s="364"/>
      <c r="S15" s="361"/>
      <c r="T15" s="361"/>
    </row>
    <row r="16" spans="2:20" s="2" customFormat="1" ht="15" customHeight="1" x14ac:dyDescent="0.2">
      <c r="B16" s="8" t="s">
        <v>121</v>
      </c>
      <c r="O16" s="363"/>
      <c r="P16" s="363"/>
      <c r="Q16" s="363"/>
      <c r="R16" s="364"/>
      <c r="S16" s="361"/>
      <c r="T16" s="361"/>
    </row>
    <row r="17" spans="2:20" s="2" customFormat="1" ht="14.25" customHeight="1" thickBot="1" x14ac:dyDescent="0.25">
      <c r="B17" s="367" t="s">
        <v>122</v>
      </c>
      <c r="C17" s="367"/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O17" s="363" t="s">
        <v>123</v>
      </c>
      <c r="P17" s="363"/>
      <c r="Q17" s="363"/>
      <c r="R17" s="364"/>
      <c r="S17" s="361"/>
      <c r="T17" s="361"/>
    </row>
    <row r="18" spans="2:20" s="2" customFormat="1" ht="15" customHeight="1" thickTop="1" thickBot="1" x14ac:dyDescent="0.25">
      <c r="B18" s="368" t="s">
        <v>124</v>
      </c>
      <c r="C18" s="369" t="s">
        <v>125</v>
      </c>
      <c r="D18" s="369"/>
      <c r="E18" s="369"/>
      <c r="F18" s="369"/>
      <c r="G18" s="369"/>
      <c r="H18" s="369"/>
      <c r="I18" s="369"/>
      <c r="J18" s="370" t="s">
        <v>126</v>
      </c>
      <c r="K18" s="370"/>
      <c r="L18" s="370"/>
      <c r="M18" s="370"/>
      <c r="N18" s="24"/>
      <c r="O18" s="363"/>
      <c r="P18" s="363"/>
      <c r="Q18" s="363"/>
      <c r="R18" s="364"/>
      <c r="S18" s="361"/>
      <c r="T18" s="361"/>
    </row>
    <row r="19" spans="2:20" s="9" customFormat="1" ht="66" customHeight="1" thickTop="1" thickBot="1" x14ac:dyDescent="0.25">
      <c r="B19" s="368"/>
      <c r="C19" s="374" t="s">
        <v>107</v>
      </c>
      <c r="D19" s="374"/>
      <c r="E19" s="374" t="s">
        <v>127</v>
      </c>
      <c r="F19" s="374"/>
      <c r="G19" s="44" t="s">
        <v>128</v>
      </c>
      <c r="H19" s="44" t="s">
        <v>129</v>
      </c>
      <c r="I19" s="44" t="s">
        <v>130</v>
      </c>
      <c r="J19" s="43" t="s">
        <v>28</v>
      </c>
      <c r="K19" s="43" t="s">
        <v>131</v>
      </c>
      <c r="L19" s="43" t="s">
        <v>132</v>
      </c>
      <c r="M19" s="45" t="s">
        <v>133</v>
      </c>
      <c r="N19" s="46"/>
      <c r="O19" s="375" t="s">
        <v>134</v>
      </c>
      <c r="P19" s="375"/>
      <c r="Q19" s="375"/>
      <c r="R19" s="47"/>
      <c r="S19" s="377"/>
      <c r="T19" s="377"/>
    </row>
    <row r="20" spans="2:20" s="2" customFormat="1" ht="14.1" customHeight="1" thickTop="1" thickBot="1" x14ac:dyDescent="0.25">
      <c r="B20" s="48"/>
      <c r="C20" s="378"/>
      <c r="D20" s="378"/>
      <c r="E20" s="378"/>
      <c r="F20" s="378"/>
      <c r="G20" s="49"/>
      <c r="H20" s="50"/>
      <c r="I20" s="49"/>
      <c r="J20" s="51"/>
      <c r="K20" s="49"/>
      <c r="L20" s="49"/>
      <c r="M20" s="52"/>
      <c r="N20" s="24"/>
      <c r="O20" s="379" t="s">
        <v>135</v>
      </c>
      <c r="P20" s="379"/>
      <c r="Q20" s="379"/>
      <c r="R20" s="53">
        <f>SUM(R7:R19)</f>
        <v>52173</v>
      </c>
      <c r="S20" s="376"/>
      <c r="T20" s="376"/>
    </row>
    <row r="21" spans="2:20" s="2" customFormat="1" ht="12.75" customHeight="1" thickTop="1" thickBot="1" x14ac:dyDescent="0.25">
      <c r="B21" s="54"/>
      <c r="C21" s="371"/>
      <c r="D21" s="371"/>
      <c r="E21" s="371"/>
      <c r="F21" s="371"/>
      <c r="G21" s="55"/>
      <c r="H21" s="26"/>
      <c r="I21" s="55"/>
      <c r="J21" s="26"/>
      <c r="K21" s="55"/>
      <c r="L21" s="55"/>
      <c r="M21" s="56"/>
      <c r="N21" s="24"/>
      <c r="O21" s="379"/>
      <c r="P21" s="379"/>
      <c r="Q21" s="379"/>
      <c r="R21" s="57"/>
      <c r="S21" s="376"/>
      <c r="T21" s="376"/>
    </row>
    <row r="22" spans="2:20" s="2" customFormat="1" ht="12.75" customHeight="1" thickTop="1" thickBot="1" x14ac:dyDescent="0.25">
      <c r="B22" s="58"/>
      <c r="C22" s="371"/>
      <c r="D22" s="371"/>
      <c r="E22" s="371"/>
      <c r="F22" s="371"/>
      <c r="G22" s="55"/>
      <c r="H22" s="26"/>
      <c r="I22" s="55"/>
      <c r="J22" s="26"/>
      <c r="K22" s="55"/>
      <c r="L22" s="55"/>
      <c r="M22" s="56"/>
      <c r="N22" s="24"/>
      <c r="O22" s="372" t="s">
        <v>136</v>
      </c>
      <c r="P22" s="372"/>
      <c r="Q22" s="372"/>
      <c r="R22" s="373" t="s">
        <v>114</v>
      </c>
      <c r="S22" s="376"/>
      <c r="T22" s="376"/>
    </row>
    <row r="23" spans="2:20" s="2" customFormat="1" ht="12.75" customHeight="1" thickTop="1" thickBot="1" x14ac:dyDescent="0.25">
      <c r="B23" s="25"/>
      <c r="C23" s="371"/>
      <c r="D23" s="371"/>
      <c r="E23" s="371"/>
      <c r="F23" s="371"/>
      <c r="G23" s="55"/>
      <c r="H23" s="26"/>
      <c r="I23" s="55"/>
      <c r="J23" s="26"/>
      <c r="K23" s="55"/>
      <c r="L23" s="55"/>
      <c r="M23" s="56"/>
      <c r="N23" s="24"/>
      <c r="O23" s="372"/>
      <c r="P23" s="372"/>
      <c r="Q23" s="372"/>
      <c r="R23" s="373"/>
      <c r="S23" s="376"/>
      <c r="T23" s="376"/>
    </row>
    <row r="24" spans="2:20" s="2" customFormat="1" ht="14.1" customHeight="1" thickTop="1" thickBot="1" x14ac:dyDescent="0.25">
      <c r="B24" s="31"/>
      <c r="C24" s="380"/>
      <c r="D24" s="380"/>
      <c r="E24" s="380"/>
      <c r="F24" s="380"/>
      <c r="G24" s="59"/>
      <c r="H24" s="32"/>
      <c r="I24" s="59"/>
      <c r="J24" s="32"/>
      <c r="K24" s="59"/>
      <c r="L24" s="59"/>
      <c r="M24" s="60"/>
      <c r="N24" s="24"/>
      <c r="O24" s="381" t="s">
        <v>137</v>
      </c>
      <c r="P24" s="381"/>
      <c r="Q24" s="381"/>
      <c r="R24" s="382"/>
      <c r="S24" s="383"/>
      <c r="T24" s="383"/>
    </row>
    <row r="25" spans="2:20" s="2" customFormat="1" ht="15" customHeight="1" thickTop="1" thickBot="1" x14ac:dyDescent="0.25">
      <c r="B25" s="37" t="s">
        <v>31</v>
      </c>
      <c r="C25" s="382"/>
      <c r="D25" s="382"/>
      <c r="E25" s="382"/>
      <c r="F25" s="382"/>
      <c r="G25" s="61"/>
      <c r="H25" s="62"/>
      <c r="I25" s="61"/>
      <c r="J25" s="62"/>
      <c r="K25" s="61"/>
      <c r="L25" s="61"/>
      <c r="M25" s="63"/>
      <c r="N25" s="24"/>
      <c r="O25" s="381"/>
      <c r="P25" s="381"/>
      <c r="Q25" s="381"/>
      <c r="R25" s="382"/>
      <c r="S25" s="383"/>
      <c r="T25" s="383"/>
    </row>
    <row r="26" spans="2:20" s="2" customFormat="1" ht="12" customHeight="1" thickTop="1" thickBot="1" x14ac:dyDescent="0.25">
      <c r="N26" s="64"/>
      <c r="O26" s="388"/>
      <c r="P26" s="388"/>
      <c r="Q26" s="388"/>
      <c r="R26" s="65"/>
      <c r="S26" s="388"/>
      <c r="T26" s="388"/>
    </row>
    <row r="27" spans="2:20" s="2" customFormat="1" ht="15" customHeight="1" thickTop="1" x14ac:dyDescent="0.2">
      <c r="B27" s="143" t="s">
        <v>184</v>
      </c>
      <c r="C27" s="144"/>
      <c r="D27" s="144"/>
      <c r="E27" s="144"/>
      <c r="F27" s="144"/>
      <c r="G27" s="145"/>
      <c r="I27" s="389" t="s">
        <v>185</v>
      </c>
      <c r="J27" s="389"/>
      <c r="K27" s="389"/>
      <c r="L27" s="389"/>
      <c r="M27" s="66"/>
      <c r="N27" s="10"/>
      <c r="O27" s="390" t="s">
        <v>186</v>
      </c>
      <c r="P27" s="390"/>
      <c r="Q27" s="390"/>
      <c r="R27" s="390"/>
      <c r="S27" s="390"/>
      <c r="T27" s="390"/>
    </row>
    <row r="28" spans="2:20" s="67" customFormat="1" ht="12" customHeight="1" x14ac:dyDescent="0.2">
      <c r="B28" s="391" t="s">
        <v>138</v>
      </c>
      <c r="C28" s="392"/>
      <c r="D28" s="392"/>
      <c r="E28" s="392"/>
      <c r="F28" s="392"/>
      <c r="G28" s="393"/>
      <c r="I28" s="392" t="s">
        <v>139</v>
      </c>
      <c r="J28" s="392"/>
      <c r="K28" s="392"/>
      <c r="L28" s="392"/>
      <c r="M28" s="392"/>
      <c r="N28" s="68"/>
      <c r="O28" s="394" t="s">
        <v>140</v>
      </c>
      <c r="P28" s="394"/>
      <c r="Q28" s="394"/>
      <c r="R28" s="394"/>
      <c r="S28" s="394"/>
      <c r="T28" s="394"/>
    </row>
    <row r="29" spans="2:20" s="69" customFormat="1" ht="12" customHeight="1" x14ac:dyDescent="0.2">
      <c r="B29" s="384" t="s">
        <v>141</v>
      </c>
      <c r="C29" s="385"/>
      <c r="D29" s="385"/>
      <c r="E29" s="385"/>
      <c r="F29" s="385"/>
      <c r="G29" s="386"/>
      <c r="I29" s="385" t="s">
        <v>142</v>
      </c>
      <c r="J29" s="385"/>
      <c r="K29" s="385"/>
      <c r="L29" s="385"/>
      <c r="M29" s="385"/>
      <c r="N29" s="70"/>
      <c r="O29" s="387"/>
      <c r="P29" s="387"/>
      <c r="Q29" s="387"/>
      <c r="R29" s="387"/>
      <c r="S29" s="387"/>
      <c r="T29" s="387"/>
    </row>
    <row r="30" spans="2:20" s="69" customFormat="1" ht="12" customHeight="1" x14ac:dyDescent="0.2">
      <c r="B30" s="384" t="s">
        <v>143</v>
      </c>
      <c r="C30" s="385"/>
      <c r="D30" s="385"/>
      <c r="E30" s="385"/>
      <c r="F30" s="385"/>
      <c r="G30" s="386"/>
      <c r="I30" s="385" t="s">
        <v>144</v>
      </c>
      <c r="J30" s="385"/>
      <c r="K30" s="385"/>
      <c r="L30" s="385"/>
      <c r="M30" s="385"/>
      <c r="N30" s="70"/>
      <c r="O30" s="385" t="s">
        <v>145</v>
      </c>
      <c r="P30" s="385"/>
      <c r="Q30" s="385"/>
      <c r="R30" s="385"/>
      <c r="S30" s="385"/>
      <c r="T30" s="385"/>
    </row>
    <row r="31" spans="2:20" s="69" customFormat="1" ht="12" customHeight="1" x14ac:dyDescent="0.2">
      <c r="B31" s="384" t="s">
        <v>146</v>
      </c>
      <c r="C31" s="385"/>
      <c r="D31" s="385"/>
      <c r="E31" s="385"/>
      <c r="F31" s="385"/>
      <c r="G31" s="386"/>
      <c r="I31" s="392"/>
      <c r="J31" s="392"/>
      <c r="K31" s="392"/>
      <c r="L31" s="392"/>
      <c r="M31" s="392"/>
      <c r="N31" s="70"/>
      <c r="O31" s="387"/>
      <c r="P31" s="387"/>
      <c r="Q31" s="387"/>
      <c r="R31" s="387"/>
      <c r="S31" s="387"/>
      <c r="T31" s="387"/>
    </row>
    <row r="32" spans="2:20" s="69" customFormat="1" ht="12" customHeight="1" x14ac:dyDescent="0.2">
      <c r="B32" s="384" t="s">
        <v>180</v>
      </c>
      <c r="C32" s="385"/>
      <c r="D32" s="385"/>
      <c r="E32" s="385"/>
      <c r="F32" s="385"/>
      <c r="G32" s="386"/>
      <c r="I32" s="385"/>
      <c r="J32" s="385"/>
      <c r="K32" s="385"/>
      <c r="L32" s="385"/>
      <c r="M32" s="385"/>
      <c r="N32" s="70"/>
      <c r="O32" s="387" t="s">
        <v>147</v>
      </c>
      <c r="P32" s="387"/>
      <c r="Q32" s="387"/>
      <c r="R32" s="387"/>
      <c r="S32" s="387"/>
      <c r="T32" s="387"/>
    </row>
    <row r="33" spans="2:20" s="69" customFormat="1" ht="12" customHeight="1" x14ac:dyDescent="0.2">
      <c r="B33" s="384" t="s">
        <v>148</v>
      </c>
      <c r="C33" s="385"/>
      <c r="D33" s="385"/>
      <c r="E33" s="385"/>
      <c r="F33" s="385"/>
      <c r="G33" s="386"/>
      <c r="I33" s="385"/>
      <c r="J33" s="385"/>
      <c r="K33" s="385"/>
      <c r="L33" s="385"/>
      <c r="M33" s="385"/>
      <c r="N33" s="70"/>
      <c r="O33" s="387"/>
      <c r="P33" s="387"/>
      <c r="Q33" s="387"/>
      <c r="R33" s="387"/>
      <c r="S33" s="387"/>
      <c r="T33" s="387"/>
    </row>
    <row r="34" spans="2:20" s="69" customFormat="1" ht="12" customHeight="1" x14ac:dyDescent="0.2">
      <c r="B34" s="384" t="s">
        <v>149</v>
      </c>
      <c r="C34" s="385"/>
      <c r="D34" s="385"/>
      <c r="E34" s="385"/>
      <c r="F34" s="385"/>
      <c r="G34" s="386"/>
      <c r="I34" s="385"/>
      <c r="J34" s="385"/>
      <c r="K34" s="385"/>
      <c r="L34" s="385"/>
      <c r="M34" s="385"/>
      <c r="N34" s="70"/>
      <c r="O34" s="395" t="s">
        <v>150</v>
      </c>
      <c r="P34" s="395"/>
      <c r="Q34" s="395"/>
      <c r="R34" s="24"/>
      <c r="S34" s="24"/>
      <c r="T34" s="10"/>
    </row>
    <row r="35" spans="2:20" s="69" customFormat="1" ht="12" customHeight="1" x14ac:dyDescent="0.2">
      <c r="B35" s="400">
        <v>4203129000179</v>
      </c>
      <c r="C35" s="401"/>
      <c r="D35" s="401"/>
      <c r="E35" s="401"/>
      <c r="F35" s="401"/>
      <c r="G35" s="146" t="s">
        <v>151</v>
      </c>
      <c r="I35" s="385"/>
      <c r="J35" s="385"/>
      <c r="K35" s="385"/>
      <c r="L35" s="385"/>
      <c r="M35" s="385"/>
      <c r="N35" s="70"/>
      <c r="O35" s="387"/>
      <c r="P35" s="387"/>
      <c r="Q35" s="387"/>
      <c r="R35" s="387"/>
      <c r="S35" s="387"/>
      <c r="T35" s="387"/>
    </row>
    <row r="36" spans="2:20" s="69" customFormat="1" ht="12" customHeight="1" x14ac:dyDescent="0.2">
      <c r="B36" s="402" t="s">
        <v>249</v>
      </c>
      <c r="C36" s="396"/>
      <c r="D36" s="396"/>
      <c r="E36" s="396"/>
      <c r="F36" s="396"/>
      <c r="G36" s="146" t="s">
        <v>152</v>
      </c>
      <c r="I36" s="385"/>
      <c r="J36" s="385"/>
      <c r="K36" s="385"/>
      <c r="L36" s="385"/>
      <c r="M36" s="385"/>
      <c r="N36" s="70"/>
      <c r="O36" s="395" t="s">
        <v>153</v>
      </c>
      <c r="P36" s="395"/>
      <c r="Q36" s="395"/>
      <c r="R36" s="6"/>
      <c r="S36" s="6"/>
      <c r="T36" s="70"/>
    </row>
    <row r="37" spans="2:20" s="69" customFormat="1" ht="12" customHeight="1" x14ac:dyDescent="0.2">
      <c r="B37" s="147" t="s">
        <v>154</v>
      </c>
      <c r="C37" s="24"/>
      <c r="D37" s="385" t="s">
        <v>114</v>
      </c>
      <c r="E37" s="385"/>
      <c r="F37" s="5" t="s">
        <v>155</v>
      </c>
      <c r="G37" s="148" t="s">
        <v>114</v>
      </c>
      <c r="I37" s="385"/>
      <c r="J37" s="385"/>
      <c r="K37" s="385"/>
      <c r="L37" s="385"/>
      <c r="M37" s="385"/>
      <c r="N37" s="70"/>
      <c r="O37" s="387"/>
      <c r="P37" s="387"/>
      <c r="Q37" s="387"/>
      <c r="R37" s="387"/>
      <c r="S37" s="387"/>
      <c r="T37" s="387"/>
    </row>
    <row r="38" spans="2:20" s="69" customFormat="1" ht="12" customHeight="1" x14ac:dyDescent="0.2">
      <c r="B38" s="147" t="s">
        <v>156</v>
      </c>
      <c r="C38" s="396" t="s">
        <v>157</v>
      </c>
      <c r="D38" s="396"/>
      <c r="E38" s="396"/>
      <c r="F38" s="396"/>
      <c r="G38" s="397"/>
      <c r="I38" s="385"/>
      <c r="J38" s="385"/>
      <c r="K38" s="385"/>
      <c r="L38" s="385"/>
      <c r="M38" s="385"/>
      <c r="N38" s="70"/>
      <c r="O38" s="71"/>
      <c r="P38" s="6"/>
      <c r="Q38" s="6"/>
      <c r="R38" s="6"/>
      <c r="S38" s="6"/>
      <c r="T38" s="70"/>
    </row>
    <row r="39" spans="2:20" s="69" customFormat="1" ht="12" customHeight="1" x14ac:dyDescent="0.2">
      <c r="B39" s="384" t="s">
        <v>158</v>
      </c>
      <c r="C39" s="385"/>
      <c r="D39" s="385"/>
      <c r="E39" s="385"/>
      <c r="F39" s="385"/>
      <c r="G39" s="386"/>
      <c r="I39" s="385"/>
      <c r="J39" s="385"/>
      <c r="K39" s="385"/>
      <c r="L39" s="385"/>
      <c r="M39" s="385"/>
      <c r="N39" s="70"/>
      <c r="O39" s="395" t="s">
        <v>159</v>
      </c>
      <c r="P39" s="395"/>
      <c r="Q39" s="395"/>
      <c r="R39" s="24"/>
      <c r="S39" s="24"/>
      <c r="T39" s="10"/>
    </row>
    <row r="40" spans="2:20" s="69" customFormat="1" ht="12" customHeight="1" x14ac:dyDescent="0.2">
      <c r="B40" s="149"/>
      <c r="C40" s="6"/>
      <c r="D40" s="6"/>
      <c r="E40" s="6"/>
      <c r="F40" s="6"/>
      <c r="G40" s="150"/>
      <c r="I40" s="385"/>
      <c r="J40" s="385"/>
      <c r="K40" s="385"/>
      <c r="L40" s="385"/>
      <c r="M40" s="385"/>
      <c r="N40" s="70"/>
      <c r="O40" s="71"/>
      <c r="P40" s="6"/>
      <c r="Q40" s="6"/>
      <c r="R40" s="6"/>
      <c r="S40" s="6"/>
      <c r="T40" s="70"/>
    </row>
    <row r="41" spans="2:20" s="69" customFormat="1" ht="12" customHeight="1" x14ac:dyDescent="0.2">
      <c r="B41" s="149" t="s">
        <v>160</v>
      </c>
      <c r="C41" s="396" t="s">
        <v>182</v>
      </c>
      <c r="D41" s="396"/>
      <c r="E41" s="406" t="s">
        <v>98</v>
      </c>
      <c r="F41" s="406"/>
      <c r="G41" s="407"/>
      <c r="I41" s="408" t="s">
        <v>161</v>
      </c>
      <c r="J41" s="408"/>
      <c r="K41" s="408"/>
      <c r="L41" s="408"/>
      <c r="M41" s="408"/>
      <c r="N41" s="70"/>
      <c r="O41" s="71"/>
      <c r="P41" s="6"/>
      <c r="Q41" s="6"/>
      <c r="R41" s="6"/>
      <c r="S41" s="399"/>
      <c r="T41" s="399"/>
    </row>
    <row r="42" spans="2:20" s="69" customFormat="1" ht="12" customHeight="1" x14ac:dyDescent="0.2">
      <c r="B42" s="149" t="s">
        <v>60</v>
      </c>
      <c r="C42" s="409" t="s">
        <v>213</v>
      </c>
      <c r="D42" s="409"/>
      <c r="E42" s="406" t="str">
        <f>Sheet1!D7</f>
        <v>BATTU CHAITANYA PRAKASH</v>
      </c>
      <c r="F42" s="406"/>
      <c r="G42" s="407"/>
      <c r="I42" s="398"/>
      <c r="J42" s="395"/>
      <c r="K42" s="395"/>
      <c r="L42" s="399" t="s">
        <v>162</v>
      </c>
      <c r="M42" s="399"/>
      <c r="N42" s="70"/>
      <c r="O42" s="395" t="s">
        <v>163</v>
      </c>
      <c r="P42" s="395"/>
      <c r="Q42" s="395"/>
      <c r="R42" s="399" t="s">
        <v>164</v>
      </c>
      <c r="S42" s="399"/>
      <c r="T42" s="399"/>
    </row>
    <row r="43" spans="2:20" s="69" customFormat="1" ht="12" customHeight="1" thickBot="1" x14ac:dyDescent="0.25">
      <c r="B43" s="151"/>
      <c r="C43" s="152"/>
      <c r="D43" s="152"/>
      <c r="E43" s="152"/>
      <c r="F43" s="403"/>
      <c r="G43" s="404"/>
      <c r="I43" s="405"/>
      <c r="J43" s="405"/>
      <c r="K43" s="405"/>
      <c r="L43" s="405"/>
      <c r="M43" s="405"/>
      <c r="N43" s="70"/>
      <c r="O43" s="72"/>
      <c r="P43" s="73"/>
      <c r="Q43" s="73"/>
      <c r="R43" s="73"/>
      <c r="S43" s="73"/>
      <c r="T43" s="74"/>
    </row>
  </sheetData>
  <sheetProtection selectLockedCells="1" selectUnlockedCells="1"/>
  <mergeCells count="125">
    <mergeCell ref="R42:T42"/>
    <mergeCell ref="F43:G43"/>
    <mergeCell ref="I43:M43"/>
    <mergeCell ref="I40:M40"/>
    <mergeCell ref="C41:D41"/>
    <mergeCell ref="E41:G41"/>
    <mergeCell ref="I41:M41"/>
    <mergeCell ref="S41:T41"/>
    <mergeCell ref="C42:D42"/>
    <mergeCell ref="E42:G42"/>
    <mergeCell ref="I42:K42"/>
    <mergeCell ref="L42:M42"/>
    <mergeCell ref="O42:Q42"/>
    <mergeCell ref="B35:F35"/>
    <mergeCell ref="I35:M35"/>
    <mergeCell ref="O35:T35"/>
    <mergeCell ref="B36:F36"/>
    <mergeCell ref="I36:M36"/>
    <mergeCell ref="O36:Q36"/>
    <mergeCell ref="D37:E37"/>
    <mergeCell ref="I37:M37"/>
    <mergeCell ref="O37:T37"/>
    <mergeCell ref="C38:G38"/>
    <mergeCell ref="I38:M38"/>
    <mergeCell ref="B39:G39"/>
    <mergeCell ref="I39:M39"/>
    <mergeCell ref="O39:Q39"/>
    <mergeCell ref="B31:G31"/>
    <mergeCell ref="I31:M31"/>
    <mergeCell ref="O31:T31"/>
    <mergeCell ref="B32:G32"/>
    <mergeCell ref="I32:M32"/>
    <mergeCell ref="O32:T32"/>
    <mergeCell ref="B33:G33"/>
    <mergeCell ref="I33:M33"/>
    <mergeCell ref="O33:T33"/>
    <mergeCell ref="B34:G34"/>
    <mergeCell ref="I34:M34"/>
    <mergeCell ref="O34:Q34"/>
    <mergeCell ref="O26:Q26"/>
    <mergeCell ref="S26:T26"/>
    <mergeCell ref="I27:L27"/>
    <mergeCell ref="O27:T27"/>
    <mergeCell ref="B28:G28"/>
    <mergeCell ref="I28:M28"/>
    <mergeCell ref="O28:T28"/>
    <mergeCell ref="B29:G29"/>
    <mergeCell ref="I29:M29"/>
    <mergeCell ref="O29:T29"/>
    <mergeCell ref="B30:G30"/>
    <mergeCell ref="I30:M30"/>
    <mergeCell ref="O30:T30"/>
    <mergeCell ref="C24:D24"/>
    <mergeCell ref="E24:F24"/>
    <mergeCell ref="O24:Q25"/>
    <mergeCell ref="R24:R25"/>
    <mergeCell ref="S24:T25"/>
    <mergeCell ref="C25:D25"/>
    <mergeCell ref="E25:F25"/>
    <mergeCell ref="S22:T23"/>
    <mergeCell ref="C23:D23"/>
    <mergeCell ref="E23:F23"/>
    <mergeCell ref="S19:T19"/>
    <mergeCell ref="C20:D20"/>
    <mergeCell ref="E20:F20"/>
    <mergeCell ref="O20:Q21"/>
    <mergeCell ref="S20:T21"/>
    <mergeCell ref="C21:D21"/>
    <mergeCell ref="E21:F21"/>
    <mergeCell ref="C22:D22"/>
    <mergeCell ref="E22:F22"/>
    <mergeCell ref="O22:Q23"/>
    <mergeCell ref="R22:R23"/>
    <mergeCell ref="C19:D19"/>
    <mergeCell ref="E19:F19"/>
    <mergeCell ref="O19:Q19"/>
    <mergeCell ref="S15:T16"/>
    <mergeCell ref="B17:M17"/>
    <mergeCell ref="O17:Q18"/>
    <mergeCell ref="R17:R18"/>
    <mergeCell ref="S17:T18"/>
    <mergeCell ref="B18:B19"/>
    <mergeCell ref="C18:I18"/>
    <mergeCell ref="J18:M18"/>
    <mergeCell ref="C13:F13"/>
    <mergeCell ref="J13:K13"/>
    <mergeCell ref="O13:Q14"/>
    <mergeCell ref="R13:R14"/>
    <mergeCell ref="O15:Q16"/>
    <mergeCell ref="R15:R16"/>
    <mergeCell ref="R11:R12"/>
    <mergeCell ref="S11:T12"/>
    <mergeCell ref="C12:F12"/>
    <mergeCell ref="J12:K12"/>
    <mergeCell ref="C9:F9"/>
    <mergeCell ref="J9:K9"/>
    <mergeCell ref="O9:Q10"/>
    <mergeCell ref="R9:R10"/>
    <mergeCell ref="S7:T8"/>
    <mergeCell ref="S13:T14"/>
    <mergeCell ref="C14:F14"/>
    <mergeCell ref="J14:K14"/>
    <mergeCell ref="S9:T10"/>
    <mergeCell ref="C10:F10"/>
    <mergeCell ref="J10:K10"/>
    <mergeCell ref="C11:F11"/>
    <mergeCell ref="J11:K11"/>
    <mergeCell ref="O11:Q12"/>
    <mergeCell ref="C8:F8"/>
    <mergeCell ref="J8:K8"/>
    <mergeCell ref="C6:F6"/>
    <mergeCell ref="J6:K6"/>
    <mergeCell ref="O6:Q6"/>
    <mergeCell ref="S6:T6"/>
    <mergeCell ref="C7:F7"/>
    <mergeCell ref="J7:K7"/>
    <mergeCell ref="O7:Q8"/>
    <mergeCell ref="R7:R8"/>
    <mergeCell ref="C1:G1"/>
    <mergeCell ref="Q1:R1"/>
    <mergeCell ref="C2:F2"/>
    <mergeCell ref="C3:F3"/>
    <mergeCell ref="B5:G5"/>
    <mergeCell ref="I5:M5"/>
    <mergeCell ref="O5:T5"/>
  </mergeCells>
  <pageMargins left="0.5" right="0.5" top="0.5" bottom="0.5" header="0.51180555555555596" footer="0.3"/>
  <pageSetup paperSize="9" scale="70" firstPageNumber="0" orientation="landscape" useFirstPageNumber="1" r:id="rId1"/>
  <headerFooter alignWithMargins="0">
    <oddFooter>&amp;C&amp;"Calibri,Regular"&amp;11Page 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2"/>
  <sheetViews>
    <sheetView zoomScaleNormal="100" workbookViewId="0">
      <selection activeCell="C34" sqref="A2:C34"/>
    </sheetView>
  </sheetViews>
  <sheetFormatPr defaultColWidth="8.5703125" defaultRowHeight="12.75" x14ac:dyDescent="0.2"/>
  <cols>
    <col min="1" max="1" width="10.28515625" bestFit="1" customWidth="1"/>
    <col min="2" max="3" width="30" bestFit="1" customWidth="1"/>
  </cols>
  <sheetData>
    <row r="1" spans="1:3" x14ac:dyDescent="0.2">
      <c r="A1" t="s">
        <v>194</v>
      </c>
      <c r="B1" t="s">
        <v>195</v>
      </c>
      <c r="C1" t="s">
        <v>196</v>
      </c>
    </row>
    <row r="2" spans="1:3" ht="15" x14ac:dyDescent="0.25">
      <c r="A2" s="155"/>
      <c r="B2" s="157"/>
      <c r="C2" s="170"/>
    </row>
    <row r="3" spans="1:3" ht="15" x14ac:dyDescent="0.25">
      <c r="A3" s="155"/>
      <c r="B3" s="157"/>
      <c r="C3" s="170"/>
    </row>
    <row r="4" spans="1:3" ht="15" x14ac:dyDescent="0.25">
      <c r="A4" s="155"/>
      <c r="B4" s="157"/>
      <c r="C4" s="170"/>
    </row>
    <row r="5" spans="1:3" ht="15" x14ac:dyDescent="0.25">
      <c r="A5" s="155"/>
      <c r="B5" s="157"/>
      <c r="C5" s="157"/>
    </row>
    <row r="6" spans="1:3" ht="15" x14ac:dyDescent="0.25">
      <c r="A6" s="155"/>
      <c r="B6" s="157"/>
      <c r="C6" s="157"/>
    </row>
    <row r="7" spans="1:3" ht="15" x14ac:dyDescent="0.25">
      <c r="A7" s="155"/>
      <c r="B7" s="157"/>
      <c r="C7" s="157"/>
    </row>
    <row r="8" spans="1:3" ht="15" x14ac:dyDescent="0.25">
      <c r="A8" s="155"/>
      <c r="B8" s="157"/>
      <c r="C8" s="157"/>
    </row>
    <row r="9" spans="1:3" ht="15" x14ac:dyDescent="0.25">
      <c r="A9" s="155"/>
      <c r="B9" s="157"/>
      <c r="C9" s="157"/>
    </row>
    <row r="10" spans="1:3" ht="15" x14ac:dyDescent="0.25">
      <c r="A10" s="155"/>
      <c r="B10" s="157"/>
      <c r="C10" s="157"/>
    </row>
    <row r="11" spans="1:3" ht="15" x14ac:dyDescent="0.25">
      <c r="A11" s="155"/>
      <c r="B11" s="157"/>
      <c r="C11" s="157"/>
    </row>
    <row r="12" spans="1:3" ht="15" x14ac:dyDescent="0.25">
      <c r="A12" s="155"/>
      <c r="B12" s="170"/>
      <c r="C12" s="157"/>
    </row>
    <row r="13" spans="1:3" ht="15" x14ac:dyDescent="0.25">
      <c r="A13" s="155"/>
      <c r="B13" s="157"/>
      <c r="C13" s="157"/>
    </row>
    <row r="14" spans="1:3" ht="15" x14ac:dyDescent="0.25">
      <c r="A14" s="155"/>
      <c r="B14" s="157"/>
      <c r="C14" s="157"/>
    </row>
    <row r="15" spans="1:3" ht="15" x14ac:dyDescent="0.25">
      <c r="A15" s="155"/>
      <c r="B15" s="157"/>
      <c r="C15" s="157"/>
    </row>
    <row r="16" spans="1:3" ht="15" x14ac:dyDescent="0.25">
      <c r="A16" s="155"/>
      <c r="B16" s="170"/>
      <c r="C16" s="157"/>
    </row>
    <row r="17" spans="1:3" ht="15" x14ac:dyDescent="0.25">
      <c r="A17" s="155"/>
      <c r="B17" s="170"/>
      <c r="C17" s="157"/>
    </row>
    <row r="18" spans="1:3" ht="15" x14ac:dyDescent="0.25">
      <c r="A18" s="155"/>
      <c r="B18" s="170"/>
      <c r="C18" s="157"/>
    </row>
    <row r="19" spans="1:3" ht="15" x14ac:dyDescent="0.25">
      <c r="A19" s="155"/>
      <c r="B19" s="170"/>
      <c r="C19" s="170"/>
    </row>
    <row r="20" spans="1:3" ht="15" x14ac:dyDescent="0.25">
      <c r="A20" s="155"/>
      <c r="B20" s="157"/>
      <c r="C20" s="170"/>
    </row>
    <row r="21" spans="1:3" ht="15" x14ac:dyDescent="0.25">
      <c r="A21" s="155"/>
      <c r="B21" s="157"/>
      <c r="C21" s="170"/>
    </row>
    <row r="22" spans="1:3" ht="15" x14ac:dyDescent="0.25">
      <c r="A22" s="155"/>
      <c r="B22" s="157"/>
      <c r="C22" s="170"/>
    </row>
    <row r="23" spans="1:3" ht="15" x14ac:dyDescent="0.25">
      <c r="A23" s="155"/>
      <c r="B23" s="157"/>
      <c r="C23" s="170"/>
    </row>
    <row r="24" spans="1:3" ht="15" x14ac:dyDescent="0.25">
      <c r="A24" s="155"/>
      <c r="B24" s="157"/>
      <c r="C24" s="170"/>
    </row>
    <row r="25" spans="1:3" ht="15" x14ac:dyDescent="0.25">
      <c r="A25" s="155"/>
      <c r="B25" s="170"/>
      <c r="C25" s="157"/>
    </row>
    <row r="26" spans="1:3" ht="15" x14ac:dyDescent="0.25">
      <c r="A26" s="155"/>
      <c r="B26" s="170"/>
      <c r="C26" s="157"/>
    </row>
    <row r="27" spans="1:3" ht="15" x14ac:dyDescent="0.25">
      <c r="A27" s="155"/>
      <c r="B27" s="157"/>
      <c r="C27" s="170"/>
    </row>
    <row r="28" spans="1:3" ht="15" x14ac:dyDescent="0.25">
      <c r="A28" s="155"/>
      <c r="B28" s="157"/>
      <c r="C28" s="157"/>
    </row>
    <row r="29" spans="1:3" ht="15" x14ac:dyDescent="0.25">
      <c r="A29" s="155"/>
      <c r="B29" s="157"/>
      <c r="C29" s="157"/>
    </row>
    <row r="30" spans="1:3" ht="15" x14ac:dyDescent="0.25">
      <c r="A30" s="155"/>
      <c r="B30" s="170"/>
      <c r="C30" s="157"/>
    </row>
    <row r="31" spans="1:3" ht="15" x14ac:dyDescent="0.25">
      <c r="A31" s="155"/>
      <c r="B31" s="157"/>
      <c r="C31" s="170"/>
    </row>
    <row r="32" spans="1:3" ht="15" x14ac:dyDescent="0.25">
      <c r="A32" s="155"/>
      <c r="B32" s="170"/>
      <c r="C32" s="170"/>
    </row>
  </sheetData>
  <sheetProtection selectLockedCells="1" selectUnlockedCells="1"/>
  <autoFilter ref="A1:C32"/>
  <pageMargins left="0.70000000000000007" right="0.70000000000000007" top="0.75" bottom="0.75" header="0.51180555555555562" footer="0.51180555555555562"/>
  <pageSetup firstPageNumber="0" orientation="portrait" useFirstPageNumber="1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Sheet1!Print_Area</vt:lpstr>
      <vt:lpstr>Sheet2!Print_Area</vt:lpstr>
      <vt:lpstr>Sheet3!Print_Area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SUNDI</dc:creator>
  <cp:lastModifiedBy>cloudconvert_18</cp:lastModifiedBy>
  <cp:lastPrinted>2025-06-24T06:05:03Z</cp:lastPrinted>
  <dcterms:created xsi:type="dcterms:W3CDTF">2017-12-05T08:51:54Z</dcterms:created>
  <dcterms:modified xsi:type="dcterms:W3CDTF">2025-09-07T12:01:50Z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DateTime1">
    <vt:lpwstr>01/05/2024 16:57:02</vt:lpwstr>
  </property>
  <property fmtid="{D5CDD505-2E9C-101B-9397-08002B2CF9AE}" pid="4" name="DateTime2">
    <vt:lpwstr>06-01-2024 12:12:04</vt:lpwstr>
  </property>
  <property fmtid="{D5CDD505-2E9C-101B-9397-08002B2CF9AE}" pid="5" name="DateTime3">
    <vt:lpwstr>01/06/2024 12:13:13</vt:lpwstr>
  </property>
  <property fmtid="{D5CDD505-2E9C-101B-9397-08002B2CF9AE}" pid="6" name="DateTime4">
    <vt:lpwstr>01/06/2024 12:42:12</vt:lpwstr>
  </property>
  <property fmtid="{D5CDD505-2E9C-101B-9397-08002B2CF9AE}" pid="7" name="SISARadarPurpose">
    <vt:lpwstr/>
  </property>
  <property fmtid="{D5CDD505-2E9C-101B-9397-08002B2CF9AE}" pid="8" name="DateTime5">
    <vt:lpwstr>01/18/2024 13:20:37</vt:lpwstr>
  </property>
  <property fmtid="{D5CDD505-2E9C-101B-9397-08002B2CF9AE}" pid="9" name="DateTime6">
    <vt:lpwstr>02-05-2024 12:23:42</vt:lpwstr>
  </property>
</Properties>
</file>